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RAJA\Downloads\"/>
    </mc:Choice>
  </mc:AlternateContent>
  <xr:revisionPtr revIDLastSave="0" documentId="13_ncr:1_{5EF47639-6E6F-4152-8FFF-1F05FFCAE2D8}" xr6:coauthVersionLast="47" xr6:coauthVersionMax="47" xr10:uidLastSave="{00000000-0000-0000-0000-000000000000}"/>
  <bookViews>
    <workbookView xWindow="-108" yWindow="-108" windowWidth="23256" windowHeight="12456" firstSheet="1" activeTab="7" xr2:uid="{C380B633-C964-4002-B2DD-C0626C2D366D}"/>
  </bookViews>
  <sheets>
    <sheet name="Problems." sheetId="1" r:id="rId1"/>
    <sheet name="Journal entries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8" l="1"/>
  <c r="B41" i="8" s="1"/>
  <c r="B36" i="8"/>
  <c r="B31" i="8"/>
  <c r="B26" i="8"/>
  <c r="B21" i="8"/>
  <c r="B16" i="8"/>
  <c r="B11" i="8"/>
  <c r="B9" i="8"/>
  <c r="B6" i="8"/>
  <c r="F14" i="7"/>
  <c r="B6" i="7" l="1"/>
  <c r="C7" i="7" s="1"/>
  <c r="C14" i="7" s="1"/>
  <c r="C15" i="6"/>
  <c r="F15" i="6"/>
  <c r="F6" i="5"/>
  <c r="C10" i="5"/>
  <c r="C7" i="5"/>
  <c r="D38" i="3" l="1"/>
  <c r="H18" i="3"/>
  <c r="H20" i="3" s="1"/>
  <c r="D20" i="3"/>
  <c r="C35" i="4"/>
  <c r="D35" i="4"/>
  <c r="D198" i="3"/>
  <c r="H115" i="3"/>
  <c r="H57" i="3"/>
  <c r="D57" i="3"/>
  <c r="H47" i="3"/>
  <c r="D47" i="3"/>
  <c r="H38" i="3"/>
</calcChain>
</file>

<file path=xl/sharedStrings.xml><?xml version="1.0" encoding="utf-8"?>
<sst xmlns="http://schemas.openxmlformats.org/spreadsheetml/2006/main" count="813" uniqueCount="292">
  <si>
    <t>Date</t>
  </si>
  <si>
    <t>Particulars</t>
  </si>
  <si>
    <t>L.F</t>
  </si>
  <si>
    <t>Debit₹</t>
  </si>
  <si>
    <t>Credit₹</t>
  </si>
  <si>
    <t>In the Books of Sree Enterprises.Preperation of Journal entries for the year ended 31st March 2026.</t>
  </si>
  <si>
    <t>THE FOLLOWING ARE THE TRANSACTION OF SREE ENTERPRISES FOR THE YEAR 2025 - 2026</t>
  </si>
  <si>
    <t>Started business with Cash ₹4,00,000 and Bank ₹8,00,000</t>
  </si>
  <si>
    <t>Purchased goods on credit from Sun Traders ₹1,80,000</t>
  </si>
  <si>
    <t>Paid office stationery by cash ₹4,500</t>
  </si>
  <si>
    <t>Purchased computer system by cheque ₹60,000</t>
  </si>
  <si>
    <t>Sold goods on credit to Royal Stores ₹2,75,000</t>
  </si>
  <si>
    <t>Paid carriage inward in cash ₹3,500</t>
  </si>
  <si>
    <t>Received cheque from Royal Stores ₹2,70,000 in full settlement</t>
  </si>
  <si>
    <t>Returned goods to Sun Traders ₹8,000</t>
  </si>
  <si>
    <t>Paid Sun Traders ₹1,68,000 by cheque and received discount ₹4,000</t>
  </si>
  <si>
    <t>Cash sales ₹95,000</t>
  </si>
  <si>
    <t>Purchased office furniture by cheque ₹75,000</t>
  </si>
  <si>
    <t>Goods withdrawn by proprietor for personal use ₹6,000</t>
  </si>
  <si>
    <t>Paid telephone and internet charges through bank ₹7,500</t>
  </si>
  <si>
    <t>Cash sales ₹1,10,000</t>
  </si>
  <si>
    <t>Received commission in cash ₹15,000</t>
  </si>
  <si>
    <t>Paid office rent by cheque ₹30,000</t>
  </si>
  <si>
    <t>Purchased delivery vehicle ₹5,00,000; paid ₹1,50,000 by cheque and balance through loan</t>
  </si>
  <si>
    <t>Paid vehicle insurance by cheque ₹18,000</t>
  </si>
  <si>
    <t>Purchased goods on credit from Kannan Agencies ₹2,20,000</t>
  </si>
  <si>
    <t>Sold goods on credit to Mega Mart ₹3,40,000</t>
  </si>
  <si>
    <t>Sales return from Mega Mart ₹20,000</t>
  </si>
  <si>
    <t>Paid advertising expenses in cash ₹25,000</t>
  </si>
  <si>
    <t>Received cheque from Mega Mart ₹2,50,000</t>
  </si>
  <si>
    <t>Paid Kannan Agencies ₹1,50,000 by cheque</t>
  </si>
  <si>
    <t>Paid warehouse wages in cash ₹28,000</t>
  </si>
  <si>
    <t>Purchased office equipment on credit from Tech World ₹70,000</t>
  </si>
  <si>
    <t>Paid electricity charges by cheque ₹12,500</t>
  </si>
  <si>
    <t>Bank loan credited to bank account ₹2,00,000</t>
  </si>
  <si>
    <t>Paid staff salaries through bank ₹72,000</t>
  </si>
  <si>
    <t>Interest on fixed deposit credited by bank ₹24,000</t>
  </si>
  <si>
    <t>ADDITIONAL INFORMATION:</t>
  </si>
  <si>
    <t>Closing stock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</si>
  <si>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</si>
  <si>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</si>
  <si>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</si>
  <si>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</si>
  <si>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</si>
  <si>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</si>
  <si>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Sun Traders A/c</t>
  </si>
  <si>
    <t>(Being purchased goods for credit on Sun Traders)</t>
  </si>
  <si>
    <t>Stationery A/c</t>
  </si>
  <si>
    <t xml:space="preserve">  To Cash A/c</t>
  </si>
  <si>
    <t>(Being paid stationery by Cash)</t>
  </si>
  <si>
    <t>Computer A/c</t>
  </si>
  <si>
    <t xml:space="preserve">  To Bank A/c</t>
  </si>
  <si>
    <t>(Being purchased Computer by Cheque)</t>
  </si>
  <si>
    <t>Royal stores A/c</t>
  </si>
  <si>
    <t xml:space="preserve">  To Sales A/c</t>
  </si>
  <si>
    <t>(Being Sold goods on credit to Royal Stores)</t>
  </si>
  <si>
    <t>Carriage inward A/c</t>
  </si>
  <si>
    <t>(Being paid Carriage inward in Cash)</t>
  </si>
  <si>
    <t>Discount Allowed  A/c</t>
  </si>
  <si>
    <t xml:space="preserve">  To Royal Stores A/c</t>
  </si>
  <si>
    <t>(Being Received cheque from Royal Stores in full settlement )</t>
  </si>
  <si>
    <t>Sun Traders A/c</t>
  </si>
  <si>
    <t>(Being Returned goods to Sun Traders)</t>
  </si>
  <si>
    <t xml:space="preserve">  To Purchase Return A/c </t>
  </si>
  <si>
    <t xml:space="preserve">  To Discount Received A/c</t>
  </si>
  <si>
    <t>(Being paid sun Traders by cheque and received discount)</t>
  </si>
  <si>
    <t>(Being Cash Sales)</t>
  </si>
  <si>
    <t>Furniture A/c</t>
  </si>
  <si>
    <t>(Being purchased furniture by Cheque)</t>
  </si>
  <si>
    <t>Drawings A/c</t>
  </si>
  <si>
    <t xml:space="preserve">  To Purchase A/c</t>
  </si>
  <si>
    <t>(Being goods withdrawn for personal use)</t>
  </si>
  <si>
    <t>Telephone and Internet charges A/c</t>
  </si>
  <si>
    <t>(Being Telephone and internet charges paid by cheque)</t>
  </si>
  <si>
    <t>(Being received commission in Cash)</t>
  </si>
  <si>
    <t>Rent A/c</t>
  </si>
  <si>
    <t>(Being paid rent by cheque)</t>
  </si>
  <si>
    <t xml:space="preserve">Delivery vehicle A/c </t>
  </si>
  <si>
    <t xml:space="preserve">  To Bank Loan A/c</t>
  </si>
  <si>
    <t>(Being purchased delivery vehicle and paid by cheque and balance through loan)</t>
  </si>
  <si>
    <t>Vehicle inscurance A/c</t>
  </si>
  <si>
    <t>(Being paid Vehicle inscurance by Cheque)</t>
  </si>
  <si>
    <t xml:space="preserve">  To Kanna Agencies A/c</t>
  </si>
  <si>
    <t xml:space="preserve"> </t>
  </si>
  <si>
    <t>(Being purchased goods on credit from kanna agencies)</t>
  </si>
  <si>
    <t>Mega Mart A/c</t>
  </si>
  <si>
    <t>(Being Sold goods on credit to Mega Mart)</t>
  </si>
  <si>
    <t>Sales Return A/c</t>
  </si>
  <si>
    <t xml:space="preserve">  To Mega Mart A/c</t>
  </si>
  <si>
    <t>(Being Sales return from Mega mart)</t>
  </si>
  <si>
    <t>Advertising Expenses A/c</t>
  </si>
  <si>
    <t>(Bering paid advertising in cash)</t>
  </si>
  <si>
    <t>(Being received cheque from Mega Mart)</t>
  </si>
  <si>
    <t>Kannan Agencies A/c</t>
  </si>
  <si>
    <t>(Being paid Kannan Agencies by cheque)</t>
  </si>
  <si>
    <t>Warehoues Wages A/c</t>
  </si>
  <si>
    <t>(Being paid warehouse wages in cash)</t>
  </si>
  <si>
    <t>Office equipment A/c</t>
  </si>
  <si>
    <t xml:space="preserve">  To Tech World A/c</t>
  </si>
  <si>
    <t>(Being Office equipment purchased on credit from Tech world)</t>
  </si>
  <si>
    <t>Electricity Charges A/c</t>
  </si>
  <si>
    <t>(Being paid electricity charges by Cheque)</t>
  </si>
  <si>
    <t>(Being Bank loan credited to Bank account)</t>
  </si>
  <si>
    <t>Salaries A/c</t>
  </si>
  <si>
    <t>(Being paid staff salaries through Bank)</t>
  </si>
  <si>
    <t>(Being intrest on fixed deposit credited by Bank)</t>
  </si>
  <si>
    <t>To Intrest on fixed deposited A/c</t>
  </si>
  <si>
    <t xml:space="preserve">  To Commission received A/c</t>
  </si>
  <si>
    <t>J.F</t>
  </si>
  <si>
    <t>Amount₹</t>
  </si>
  <si>
    <t>Dr.</t>
  </si>
  <si>
    <t>Cr.</t>
  </si>
  <si>
    <t>Capital A/c</t>
  </si>
  <si>
    <t>In the Books of Sree Enterprises.Preperation of Ledger for the year ended 31st March 2026.</t>
  </si>
  <si>
    <t>By Cash A/c</t>
  </si>
  <si>
    <t>By Bank A/c</t>
  </si>
  <si>
    <t>To Balance C/d</t>
  </si>
  <si>
    <t>By Balance C/d</t>
  </si>
  <si>
    <t>To Capital A/c</t>
  </si>
  <si>
    <t>By Stationery A/c</t>
  </si>
  <si>
    <t>By Carriage Inward A/c</t>
  </si>
  <si>
    <t>To Sales A/c</t>
  </si>
  <si>
    <t>To Commission received A/c</t>
  </si>
  <si>
    <t>By Warehouse wages A/c</t>
  </si>
  <si>
    <t>To Balance B/d</t>
  </si>
  <si>
    <t>To Bank A/c</t>
  </si>
  <si>
    <t>By Computer A/c</t>
  </si>
  <si>
    <t>To Royal stores A/c</t>
  </si>
  <si>
    <t>By Sun Traders A/c</t>
  </si>
  <si>
    <t>By Furniture A/c</t>
  </si>
  <si>
    <t>By Telephone and Internet charges A/c</t>
  </si>
  <si>
    <t>By Rent A/c</t>
  </si>
  <si>
    <t>By Delivery vehicle A/c</t>
  </si>
  <si>
    <t>By Vehicle Inscurance A/c</t>
  </si>
  <si>
    <t>To Mega Mart A/c</t>
  </si>
  <si>
    <t>By Bank Loan A/c</t>
  </si>
  <si>
    <t>By Intrest on fixed deposit A/c</t>
  </si>
  <si>
    <t>To Sun Traders A/c</t>
  </si>
  <si>
    <t>To Kannan Agencies A/c</t>
  </si>
  <si>
    <t>By Drawings A/c</t>
  </si>
  <si>
    <t>By Purchase A/c</t>
  </si>
  <si>
    <t>To Purchase Return A/c</t>
  </si>
  <si>
    <t>To Discount Allowed A/c</t>
  </si>
  <si>
    <t>To Cash A/c</t>
  </si>
  <si>
    <t>Royal Stores A/c</t>
  </si>
  <si>
    <t>By Discount Allowed A/c</t>
  </si>
  <si>
    <t>Carriage Inward A/c</t>
  </si>
  <si>
    <t>Discount Allowed A/c</t>
  </si>
  <si>
    <t>Purchase Return A/c</t>
  </si>
  <si>
    <t>By Balance B/d</t>
  </si>
  <si>
    <t>Sales A/c</t>
  </si>
  <si>
    <t>By Royal stores A/c</t>
  </si>
  <si>
    <t>By Mega Mart A/c</t>
  </si>
  <si>
    <t>Discount Received A/c</t>
  </si>
  <si>
    <t>To Purchase A/c</t>
  </si>
  <si>
    <t>Commission Received A/c</t>
  </si>
  <si>
    <t>Delivery Vehicle A/c</t>
  </si>
  <si>
    <t>To Bank Loan A/c</t>
  </si>
  <si>
    <t>Bank Loan A/c</t>
  </si>
  <si>
    <t>By Delivery Vehicle A/c</t>
  </si>
  <si>
    <t>Vehicle Incurance A/c</t>
  </si>
  <si>
    <t>Kanna Agencies A/c</t>
  </si>
  <si>
    <t>By Sales Returns A/c</t>
  </si>
  <si>
    <t>Sales Returns A/c</t>
  </si>
  <si>
    <t>Warehouse Wages A/c</t>
  </si>
  <si>
    <t>To Tech World A/c</t>
  </si>
  <si>
    <t>Tech World A/c</t>
  </si>
  <si>
    <t>Office Equipment A/c</t>
  </si>
  <si>
    <t>By Office Equipment A/c</t>
  </si>
  <si>
    <t>Intrest on Fixed Deposit A/c</t>
  </si>
  <si>
    <t>S.No</t>
  </si>
  <si>
    <t>In the Books of Shree Enterprises.Preparation of Trial Balance for the Year ended 31st March 2026.</t>
  </si>
  <si>
    <t>-</t>
  </si>
  <si>
    <t>Telephone and Internet Charges A/c</t>
  </si>
  <si>
    <t xml:space="preserve">Sales A/c </t>
  </si>
  <si>
    <t>Intrest on Fixed deposit A/c</t>
  </si>
  <si>
    <t>By Advertising Expenses A/c</t>
  </si>
  <si>
    <t>By Salaries A/c</t>
  </si>
  <si>
    <t>By Kannan Agencies A/c</t>
  </si>
  <si>
    <t>By Electricity Charges A/c</t>
  </si>
  <si>
    <t>In the Books of Shree Enterprices.Preparation of Trading Account for the Year Ended 31st March 2026.</t>
  </si>
  <si>
    <t>Particulers</t>
  </si>
  <si>
    <t xml:space="preserve">Amount₹ </t>
  </si>
  <si>
    <t>To Opening Stock</t>
  </si>
  <si>
    <t xml:space="preserve">To Purchase </t>
  </si>
  <si>
    <t>Less:Purchase Returns</t>
  </si>
  <si>
    <t>To Direct Expenses</t>
  </si>
  <si>
    <t>Carriage Inwards</t>
  </si>
  <si>
    <t>Warehouse Wages</t>
  </si>
  <si>
    <t>By Sales</t>
  </si>
  <si>
    <t>Less:Sales Returns</t>
  </si>
  <si>
    <t>By Closing Stock</t>
  </si>
  <si>
    <t>To Gross Profit C/d</t>
  </si>
  <si>
    <t>In the Books of Shree Enterprices.Preparation of Profit and Loss Account for the Year ended 31st March 2026.</t>
  </si>
  <si>
    <t>To Stationery</t>
  </si>
  <si>
    <t>To Discount Allowed</t>
  </si>
  <si>
    <t>To Telephone and Internet charges</t>
  </si>
  <si>
    <t>To Rent</t>
  </si>
  <si>
    <t>To Vehicle Inscurance</t>
  </si>
  <si>
    <t>To Advertising Expenses</t>
  </si>
  <si>
    <t>To Electricity Charges</t>
  </si>
  <si>
    <t>By Gross Profit B/d</t>
  </si>
  <si>
    <t>By Commision received</t>
  </si>
  <si>
    <t>By Discount received</t>
  </si>
  <si>
    <t>To Net Profit</t>
  </si>
  <si>
    <t>In the Books of Shree Enterprices.Preparation of Balance Sheet for the Year Ended 31st March 2026.</t>
  </si>
  <si>
    <t>Liabilities</t>
  </si>
  <si>
    <t>Assets</t>
  </si>
  <si>
    <t>Capital</t>
  </si>
  <si>
    <t>Add:Net Profit</t>
  </si>
  <si>
    <t>Less:Drawings</t>
  </si>
  <si>
    <t>Current Liabilities:</t>
  </si>
  <si>
    <t>Sundry Creditors:</t>
  </si>
  <si>
    <t>Kannan Agencies</t>
  </si>
  <si>
    <t>Tech World</t>
  </si>
  <si>
    <t>By Intrest on fixed Deposite</t>
  </si>
  <si>
    <t>Bank loan</t>
  </si>
  <si>
    <t xml:space="preserve">Cash </t>
  </si>
  <si>
    <t xml:space="preserve">Bank </t>
  </si>
  <si>
    <t>Fixed Assets:</t>
  </si>
  <si>
    <t>Computer</t>
  </si>
  <si>
    <t>Furnitiure</t>
  </si>
  <si>
    <t>Delivery Vehicle</t>
  </si>
  <si>
    <t>Office Equipment</t>
  </si>
  <si>
    <t>Sundry Debtor:</t>
  </si>
  <si>
    <t>Mega Mart</t>
  </si>
  <si>
    <t>To Salaries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</si>
  <si>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</si>
  <si>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</si>
  <si>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</si>
  <si>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</si>
  <si>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</si>
  <si>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</si>
  <si>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</si>
  <si>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</si>
  <si>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</si>
  <si>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</si>
  <si>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</si>
  <si>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</si>
  <si>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</si>
  <si>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</si>
  <si>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t>The firm has ₹2.62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</si>
  <si>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</si>
  <si>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</si>
  <si>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</si>
  <si>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</si>
  <si>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</si>
  <si>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</si>
  <si>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The firm has ₹1.49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</si>
  <si>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</si>
  <si>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</si>
  <si>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</si>
  <si>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</si>
  <si>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</si>
  <si>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</si>
  <si>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</si>
  <si>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t>The firm has ₹0.3064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</si>
  <si>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</si>
  <si>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</si>
  <si>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</si>
  <si>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</si>
  <si>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</si>
  <si>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The firm has ₹0.2353of debt for every ₹1 of shareholder's equity.</t>
  </si>
  <si>
    <t>Total Assets</t>
  </si>
  <si>
    <t>The firm finances 23.53%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</si>
  <si>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</si>
  <si>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</si>
  <si>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</si>
  <si>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</si>
  <si>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</si>
  <si>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</si>
  <si>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t>The firm generates ₹0.454 of net sales for every ₹1 invested in total assets.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</si>
  <si>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</si>
  <si>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</si>
  <si>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</si>
  <si>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</si>
  <si>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</si>
  <si>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</si>
  <si>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</si>
  <si>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Average Inventory</t>
  </si>
  <si>
    <t>The inventory turnover ratio is 3.96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</si>
  <si>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</si>
  <si>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</si>
  <si>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</si>
  <si>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</si>
  <si>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</si>
  <si>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</si>
  <si>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</si>
  <si>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The working Capital Turnover Ratio of 0.853 times is below the ideal range of 2 - 4 times.</t>
  </si>
  <si>
    <t>Working Capital Turnover Ratio.</t>
  </si>
  <si>
    <t>The business is not using its working capital efficiently to generate sales.</t>
  </si>
  <si>
    <t>The firm has ₹11.71 of current assets for every ₹1 of current liabilities.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</si>
</sst>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i/>
      <sz val="11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15" fontId="0" fillId="0" borderId="0" xfId="0" applyNumberFormat="1"/>
    <xf numFmtId="6" fontId="0" fillId="0" borderId="0" xfId="0" applyNumberFormat="1"/>
    <xf numFmtId="164" fontId="0" fillId="0" borderId="0" xfId="1" applyNumberFormat="1" applyFont="1"/>
    <xf numFmtId="0" fontId="3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0" fontId="0" fillId="0" borderId="2" xfId="0" applyBorder="1"/>
    <xf numFmtId="0" fontId="3" fillId="0" borderId="0" xfId="0" applyFont="1"/>
    <xf numFmtId="164" fontId="3" fillId="0" borderId="0" xfId="1" applyNumberFormat="1" applyFont="1" applyAlignment="1">
      <alignment horizontal="right"/>
    </xf>
    <xf numFmtId="164" fontId="3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4" fontId="1" fillId="0" borderId="1" xfId="1" applyNumberFormat="1" applyFont="1" applyBorder="1"/>
    <xf numFmtId="164" fontId="0" fillId="0" borderId="0" xfId="0" applyNumberFormat="1"/>
    <xf numFmtId="164" fontId="1" fillId="0" borderId="0" xfId="1" applyNumberFormat="1" applyFont="1"/>
    <xf numFmtId="164" fontId="3" fillId="0" borderId="0" xfId="1" applyNumberFormat="1" applyFont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0" xfId="1" applyNumberFormat="1" applyFont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164" fontId="0" fillId="0" borderId="9" xfId="1" applyNumberFormat="1" applyFont="1" applyBorder="1"/>
    <xf numFmtId="0" fontId="3" fillId="0" borderId="6" xfId="0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0" fontId="0" fillId="0" borderId="11" xfId="0" applyBorder="1"/>
    <xf numFmtId="164" fontId="0" fillId="0" borderId="12" xfId="1" applyNumberFormat="1" applyFont="1" applyBorder="1"/>
    <xf numFmtId="164" fontId="0" fillId="0" borderId="2" xfId="1" applyNumberFormat="1" applyFont="1" applyBorder="1"/>
    <xf numFmtId="164" fontId="0" fillId="0" borderId="11" xfId="1" applyNumberFormat="1" applyFont="1" applyBorder="1"/>
    <xf numFmtId="0" fontId="0" fillId="0" borderId="12" xfId="0" applyBorder="1"/>
    <xf numFmtId="164" fontId="4" fillId="0" borderId="2" xfId="1" applyNumberFormat="1" applyFont="1" applyBorder="1"/>
    <xf numFmtId="164" fontId="0" fillId="0" borderId="5" xfId="1" applyNumberFormat="1" applyFont="1" applyBorder="1"/>
    <xf numFmtId="164" fontId="4" fillId="0" borderId="0" xfId="1" applyNumberFormat="1" applyFont="1" applyBorder="1"/>
    <xf numFmtId="164" fontId="0" fillId="0" borderId="10" xfId="1" applyNumberFormat="1" applyFont="1" applyBorder="1"/>
    <xf numFmtId="0" fontId="2" fillId="2" borderId="12" xfId="0" applyFont="1" applyFill="1" applyBorder="1" applyAlignment="1">
      <alignment horizontal="center"/>
    </xf>
    <xf numFmtId="0" fontId="0" fillId="2" borderId="11" xfId="0" applyFill="1" applyBorder="1"/>
    <xf numFmtId="0" fontId="4" fillId="3" borderId="9" xfId="0" applyFont="1" applyFill="1" applyBorder="1"/>
    <xf numFmtId="0" fontId="4" fillId="3" borderId="2" xfId="0" applyFont="1" applyFill="1" applyBorder="1"/>
    <xf numFmtId="0" fontId="0" fillId="3" borderId="2" xfId="0" applyFill="1" applyBorder="1"/>
    <xf numFmtId="0" fontId="0" fillId="3" borderId="9" xfId="0" applyFill="1" applyBorder="1" applyAlignment="1">
      <alignment horizontal="right"/>
    </xf>
    <xf numFmtId="164" fontId="0" fillId="3" borderId="2" xfId="1" applyNumberFormat="1" applyFont="1" applyFill="1" applyBorder="1"/>
    <xf numFmtId="43" fontId="4" fillId="3" borderId="2" xfId="1" applyFont="1" applyFill="1" applyBorder="1"/>
    <xf numFmtId="0" fontId="0" fillId="3" borderId="2" xfId="0" applyFill="1" applyBorder="1" applyAlignment="1">
      <alignment wrapText="1"/>
    </xf>
    <xf numFmtId="0" fontId="0" fillId="3" borderId="1" xfId="0" applyFill="1" applyBorder="1"/>
    <xf numFmtId="164" fontId="0" fillId="3" borderId="1" xfId="1" applyNumberFormat="1" applyFont="1" applyFill="1" applyBorder="1"/>
    <xf numFmtId="164" fontId="4" fillId="3" borderId="2" xfId="1" applyNumberFormat="1" applyFont="1" applyFill="1" applyBorder="1" applyAlignment="1">
      <alignment wrapText="1"/>
    </xf>
    <xf numFmtId="43" fontId="0" fillId="3" borderId="1" xfId="1" applyFont="1" applyFill="1" applyBorder="1"/>
    <xf numFmtId="164" fontId="4" fillId="3" borderId="2" xfId="1" applyNumberFormat="1" applyFont="1" applyFill="1" applyBorder="1"/>
    <xf numFmtId="0" fontId="0" fillId="3" borderId="1" xfId="0" applyFill="1" applyBorder="1" applyAlignment="1">
      <alignment horizontal="right"/>
    </xf>
    <xf numFmtId="0" fontId="4" fillId="3" borderId="9" xfId="0" applyFont="1" applyFill="1" applyBorder="1" applyAlignment="1">
      <alignment horizontal="left"/>
    </xf>
    <xf numFmtId="165" fontId="4" fillId="3" borderId="2" xfId="1" applyNumberFormat="1" applyFont="1" applyFill="1" applyBorder="1"/>
    <xf numFmtId="166" fontId="4" fillId="3" borderId="2" xfId="1" applyNumberFormat="1" applyFont="1" applyFill="1" applyBorder="1"/>
    <xf numFmtId="0" fontId="0" fillId="3" borderId="13" xfId="0" applyFill="1" applyBorder="1" applyAlignment="1">
      <alignment horizontal="right"/>
    </xf>
    <xf numFmtId="166" fontId="4" fillId="3" borderId="11" xfId="1" applyNumberFormat="1" applyFont="1" applyFill="1" applyBorder="1"/>
    <xf numFmtId="0" fontId="0" fillId="3" borderId="11" xfId="0" applyFill="1" applyBorder="1"/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6BE3-7739-48E4-A2C6-BCC5047B9B96}">
  <dimension ref="A1:B36"/>
  <sheetViews>
    <sheetView topLeftCell="A14" workbookViewId="0">
      <selection activeCell="B39" sqref="B39"/>
    </sheetView>
  </sheetViews>
  <sheetFormatPr defaultRowHeight="14.4" x14ac:dyDescent="0.3"/>
  <cols>
    <col min="1" max="1" width="13.33203125" customWidth="1"/>
    <col min="2" max="2" width="73.77734375" bestFit="1" customWidth="1"/>
  </cols>
  <sheetData>
    <row r="1" spans="1:2" x14ac:dyDescent="0.3">
      <c r="A1" s="61" t="s">
        <v>6</v>
      </c>
      <c r="B1" s="61"/>
    </row>
    <row r="3" spans="1:2" x14ac:dyDescent="0.3">
      <c r="A3" t="s">
        <v>0</v>
      </c>
      <c r="B3" t="s">
        <v>1</v>
      </c>
    </row>
    <row r="4" spans="1:2" x14ac:dyDescent="0.3">
      <c r="A4" s="1">
        <v>45748</v>
      </c>
      <c r="B4" t="s">
        <v>7</v>
      </c>
    </row>
    <row r="5" spans="1:2" x14ac:dyDescent="0.3">
      <c r="A5" s="1">
        <v>45751</v>
      </c>
      <c r="B5" t="s">
        <v>8</v>
      </c>
    </row>
    <row r="6" spans="1:2" x14ac:dyDescent="0.3">
      <c r="A6" s="1">
        <v>45755</v>
      </c>
      <c r="B6" t="s">
        <v>9</v>
      </c>
    </row>
    <row r="7" spans="1:2" x14ac:dyDescent="0.3">
      <c r="A7" s="1">
        <v>45762</v>
      </c>
      <c r="B7" t="s">
        <v>10</v>
      </c>
    </row>
    <row r="8" spans="1:2" x14ac:dyDescent="0.3">
      <c r="A8" s="1">
        <v>45769</v>
      </c>
      <c r="B8" t="s">
        <v>11</v>
      </c>
    </row>
    <row r="9" spans="1:2" x14ac:dyDescent="0.3">
      <c r="A9" s="1">
        <v>45780</v>
      </c>
      <c r="B9" t="s">
        <v>12</v>
      </c>
    </row>
    <row r="10" spans="1:2" x14ac:dyDescent="0.3">
      <c r="A10" s="1">
        <v>45789</v>
      </c>
      <c r="B10" t="s">
        <v>13</v>
      </c>
    </row>
    <row r="11" spans="1:2" x14ac:dyDescent="0.3">
      <c r="A11" s="1">
        <v>45797</v>
      </c>
      <c r="B11" t="s">
        <v>14</v>
      </c>
    </row>
    <row r="12" spans="1:2" x14ac:dyDescent="0.3">
      <c r="A12" s="1">
        <v>45813</v>
      </c>
      <c r="B12" t="s">
        <v>15</v>
      </c>
    </row>
    <row r="13" spans="1:2" x14ac:dyDescent="0.3">
      <c r="A13" s="1">
        <v>45826</v>
      </c>
      <c r="B13" t="s">
        <v>16</v>
      </c>
    </row>
    <row r="14" spans="1:2" x14ac:dyDescent="0.3">
      <c r="A14" s="1">
        <v>45840</v>
      </c>
      <c r="B14" t="s">
        <v>17</v>
      </c>
    </row>
    <row r="15" spans="1:2" x14ac:dyDescent="0.3">
      <c r="A15" s="1">
        <v>45857</v>
      </c>
      <c r="B15" t="s">
        <v>18</v>
      </c>
    </row>
    <row r="16" spans="1:2" x14ac:dyDescent="0.3">
      <c r="A16" s="1">
        <v>45875</v>
      </c>
      <c r="B16" t="s">
        <v>19</v>
      </c>
    </row>
    <row r="17" spans="1:2" x14ac:dyDescent="0.3">
      <c r="A17" s="1">
        <v>45894</v>
      </c>
      <c r="B17" t="s">
        <v>20</v>
      </c>
    </row>
    <row r="18" spans="1:2" x14ac:dyDescent="0.3">
      <c r="A18" s="1">
        <v>45905</v>
      </c>
      <c r="B18" t="s">
        <v>21</v>
      </c>
    </row>
    <row r="19" spans="1:2" x14ac:dyDescent="0.3">
      <c r="A19" s="1">
        <v>45928</v>
      </c>
      <c r="B19" t="s">
        <v>22</v>
      </c>
    </row>
    <row r="20" spans="1:2" x14ac:dyDescent="0.3">
      <c r="A20" s="1">
        <v>45940</v>
      </c>
      <c r="B20" t="s">
        <v>23</v>
      </c>
    </row>
    <row r="21" spans="1:2" x14ac:dyDescent="0.3">
      <c r="A21" s="1">
        <v>45952</v>
      </c>
      <c r="B21" t="s">
        <v>24</v>
      </c>
    </row>
    <row r="22" spans="1:2" x14ac:dyDescent="0.3">
      <c r="A22" s="1">
        <v>45969</v>
      </c>
      <c r="B22" t="s">
        <v>25</v>
      </c>
    </row>
    <row r="23" spans="1:2" x14ac:dyDescent="0.3">
      <c r="A23" s="1">
        <v>45987</v>
      </c>
      <c r="B23" t="s">
        <v>26</v>
      </c>
    </row>
    <row r="24" spans="1:2" x14ac:dyDescent="0.3">
      <c r="A24" s="1">
        <v>46003</v>
      </c>
      <c r="B24" t="s">
        <v>27</v>
      </c>
    </row>
    <row r="25" spans="1:2" x14ac:dyDescent="0.3">
      <c r="A25" s="1">
        <v>46009</v>
      </c>
      <c r="B25" t="s">
        <v>28</v>
      </c>
    </row>
    <row r="26" spans="1:2" x14ac:dyDescent="0.3">
      <c r="A26" s="1">
        <v>46031</v>
      </c>
      <c r="B26" t="s">
        <v>29</v>
      </c>
    </row>
    <row r="27" spans="1:2" x14ac:dyDescent="0.3">
      <c r="A27" s="1">
        <v>46046</v>
      </c>
      <c r="B27" t="s">
        <v>30</v>
      </c>
    </row>
    <row r="28" spans="1:2" x14ac:dyDescent="0.3">
      <c r="A28" s="1">
        <v>46059</v>
      </c>
      <c r="B28" t="s">
        <v>31</v>
      </c>
    </row>
    <row r="29" spans="1:2" x14ac:dyDescent="0.3">
      <c r="A29" s="1">
        <v>46070</v>
      </c>
      <c r="B29" t="s">
        <v>32</v>
      </c>
    </row>
    <row r="30" spans="1:2" x14ac:dyDescent="0.3">
      <c r="A30" s="1">
        <v>46085</v>
      </c>
      <c r="B30" t="s">
        <v>33</v>
      </c>
    </row>
    <row r="31" spans="1:2" x14ac:dyDescent="0.3">
      <c r="A31" s="1">
        <v>46096</v>
      </c>
      <c r="B31" t="s">
        <v>34</v>
      </c>
    </row>
    <row r="32" spans="1:2" x14ac:dyDescent="0.3">
      <c r="A32" s="1">
        <v>46108</v>
      </c>
      <c r="B32" t="s">
        <v>35</v>
      </c>
    </row>
    <row r="33" spans="1:2" x14ac:dyDescent="0.3">
      <c r="A33" s="1">
        <v>46112</v>
      </c>
      <c r="B33" t="s">
        <v>36</v>
      </c>
    </row>
    <row r="35" spans="1:2" x14ac:dyDescent="0.3">
      <c r="A35" t="s">
        <v>37</v>
      </c>
    </row>
    <row r="36" spans="1:2" x14ac:dyDescent="0.3">
      <c r="A36" t="s">
        <v>38</v>
      </c>
      <c r="B36" s="2">
        <v>210000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DF31-4B0D-4191-8A89-639A011EA2B2}">
  <dimension ref="A1:F209"/>
  <sheetViews>
    <sheetView topLeftCell="A71" workbookViewId="0">
      <selection activeCell="B79" sqref="B79"/>
    </sheetView>
  </sheetViews>
  <sheetFormatPr defaultRowHeight="14.4" x14ac:dyDescent="0.3"/>
  <cols>
    <col min="1" max="1" width="11.5546875" customWidth="1"/>
    <col min="2" max="2" width="65.21875" bestFit="1" customWidth="1"/>
    <col min="3" max="3" width="4.6640625" customWidth="1"/>
    <col min="4" max="4" width="8.21875" customWidth="1"/>
    <col min="5" max="6" width="17.77734375" customWidth="1"/>
  </cols>
  <sheetData>
    <row r="1" spans="1:6" ht="33" customHeight="1" x14ac:dyDescent="0.3">
      <c r="A1" s="62" t="s">
        <v>5</v>
      </c>
      <c r="B1" s="62"/>
      <c r="C1" s="62"/>
      <c r="D1" s="62"/>
      <c r="E1" s="62"/>
      <c r="F1" s="62"/>
    </row>
    <row r="3" spans="1:6" ht="15.6" x14ac:dyDescent="0.3">
      <c r="A3" s="4" t="s">
        <v>0</v>
      </c>
      <c r="B3" s="4" t="s">
        <v>1</v>
      </c>
      <c r="C3" s="4"/>
      <c r="D3" s="4" t="s">
        <v>2</v>
      </c>
      <c r="E3" s="4" t="s">
        <v>3</v>
      </c>
      <c r="F3" s="4" t="s">
        <v>4</v>
      </c>
    </row>
    <row r="4" spans="1:6" x14ac:dyDescent="0.3">
      <c r="A4" s="5">
        <v>45748</v>
      </c>
      <c r="B4" s="6" t="s">
        <v>39</v>
      </c>
      <c r="C4" s="6" t="s">
        <v>40</v>
      </c>
      <c r="D4" s="6"/>
      <c r="E4" s="7">
        <v>400000</v>
      </c>
      <c r="F4" s="7"/>
    </row>
    <row r="5" spans="1:6" x14ac:dyDescent="0.3">
      <c r="A5" s="6"/>
      <c r="B5" s="6" t="s">
        <v>41</v>
      </c>
      <c r="C5" s="6" t="s">
        <v>40</v>
      </c>
      <c r="D5" s="6"/>
      <c r="E5" s="7">
        <v>800000</v>
      </c>
      <c r="F5" s="7"/>
    </row>
    <row r="6" spans="1:6" x14ac:dyDescent="0.3">
      <c r="A6" s="6"/>
      <c r="B6" s="6" t="s">
        <v>42</v>
      </c>
      <c r="C6" s="6"/>
      <c r="D6" s="6"/>
      <c r="E6" s="7"/>
      <c r="F6" s="7">
        <v>1200000</v>
      </c>
    </row>
    <row r="7" spans="1:6" x14ac:dyDescent="0.3">
      <c r="A7" s="6"/>
      <c r="B7" s="6" t="s">
        <v>43</v>
      </c>
      <c r="C7" s="6"/>
      <c r="D7" s="6"/>
      <c r="E7" s="7"/>
      <c r="F7" s="7"/>
    </row>
    <row r="8" spans="1:6" x14ac:dyDescent="0.3">
      <c r="A8" s="5">
        <v>45751</v>
      </c>
      <c r="B8" s="6" t="s">
        <v>44</v>
      </c>
      <c r="C8" s="6" t="s">
        <v>40</v>
      </c>
      <c r="D8" s="6"/>
      <c r="E8" s="7">
        <v>180000</v>
      </c>
      <c r="F8" s="7"/>
    </row>
    <row r="9" spans="1:6" x14ac:dyDescent="0.3">
      <c r="A9" s="6"/>
      <c r="B9" s="6" t="s">
        <v>45</v>
      </c>
      <c r="C9" s="6"/>
      <c r="D9" s="6"/>
      <c r="E9" s="7"/>
      <c r="F9" s="7">
        <v>180000</v>
      </c>
    </row>
    <row r="10" spans="1:6" x14ac:dyDescent="0.3">
      <c r="A10" s="6"/>
      <c r="B10" s="6" t="s">
        <v>46</v>
      </c>
      <c r="C10" s="6"/>
      <c r="D10" s="6"/>
      <c r="E10" s="7"/>
      <c r="F10" s="7"/>
    </row>
    <row r="11" spans="1:6" x14ac:dyDescent="0.3">
      <c r="A11" s="5">
        <v>45755</v>
      </c>
      <c r="B11" s="6" t="s">
        <v>47</v>
      </c>
      <c r="C11" s="6" t="s">
        <v>40</v>
      </c>
      <c r="D11" s="6"/>
      <c r="E11" s="7">
        <v>4500</v>
      </c>
      <c r="F11" s="7"/>
    </row>
    <row r="12" spans="1:6" x14ac:dyDescent="0.3">
      <c r="A12" s="6"/>
      <c r="B12" s="6" t="s">
        <v>48</v>
      </c>
      <c r="C12" s="6"/>
      <c r="D12" s="6"/>
      <c r="E12" s="7"/>
      <c r="F12" s="7">
        <v>4500</v>
      </c>
    </row>
    <row r="13" spans="1:6" x14ac:dyDescent="0.3">
      <c r="A13" s="6"/>
      <c r="B13" s="6" t="s">
        <v>49</v>
      </c>
      <c r="C13" s="6"/>
      <c r="D13" s="6"/>
      <c r="E13" s="7"/>
      <c r="F13" s="7"/>
    </row>
    <row r="14" spans="1:6" x14ac:dyDescent="0.3">
      <c r="A14" s="5">
        <v>45762</v>
      </c>
      <c r="B14" s="6" t="s">
        <v>50</v>
      </c>
      <c r="C14" s="6" t="s">
        <v>40</v>
      </c>
      <c r="D14" s="6"/>
      <c r="E14" s="7">
        <v>60000</v>
      </c>
      <c r="F14" s="7"/>
    </row>
    <row r="15" spans="1:6" x14ac:dyDescent="0.3">
      <c r="A15" s="6"/>
      <c r="B15" s="6" t="s">
        <v>51</v>
      </c>
      <c r="C15" s="6"/>
      <c r="D15" s="6"/>
      <c r="E15" s="7"/>
      <c r="F15" s="7">
        <v>60000</v>
      </c>
    </row>
    <row r="16" spans="1:6" x14ac:dyDescent="0.3">
      <c r="A16" s="6"/>
      <c r="B16" s="6" t="s">
        <v>52</v>
      </c>
      <c r="C16" s="6"/>
      <c r="D16" s="6"/>
      <c r="E16" s="7"/>
      <c r="F16" s="7"/>
    </row>
    <row r="17" spans="1:6" x14ac:dyDescent="0.3">
      <c r="A17" s="5">
        <v>45769</v>
      </c>
      <c r="B17" s="6" t="s">
        <v>53</v>
      </c>
      <c r="C17" s="6" t="s">
        <v>40</v>
      </c>
      <c r="D17" s="6"/>
      <c r="E17" s="7">
        <v>275000</v>
      </c>
      <c r="F17" s="7"/>
    </row>
    <row r="18" spans="1:6" x14ac:dyDescent="0.3">
      <c r="A18" s="6"/>
      <c r="B18" s="6" t="s">
        <v>54</v>
      </c>
      <c r="C18" s="6"/>
      <c r="D18" s="6"/>
      <c r="E18" s="7"/>
      <c r="F18" s="7">
        <v>275000</v>
      </c>
    </row>
    <row r="19" spans="1:6" x14ac:dyDescent="0.3">
      <c r="A19" s="6"/>
      <c r="B19" s="6" t="s">
        <v>55</v>
      </c>
      <c r="C19" s="6"/>
      <c r="D19" s="6"/>
      <c r="E19" s="7"/>
      <c r="F19" s="7"/>
    </row>
    <row r="20" spans="1:6" x14ac:dyDescent="0.3">
      <c r="A20" s="5">
        <v>45780</v>
      </c>
      <c r="B20" s="6" t="s">
        <v>56</v>
      </c>
      <c r="C20" s="6" t="s">
        <v>40</v>
      </c>
      <c r="D20" s="6"/>
      <c r="E20" s="7">
        <v>3500</v>
      </c>
      <c r="F20" s="7"/>
    </row>
    <row r="21" spans="1:6" x14ac:dyDescent="0.3">
      <c r="A21" s="6"/>
      <c r="B21" s="6" t="s">
        <v>48</v>
      </c>
      <c r="C21" s="6"/>
      <c r="D21" s="6"/>
      <c r="E21" s="7"/>
      <c r="F21" s="7">
        <v>3500</v>
      </c>
    </row>
    <row r="22" spans="1:6" x14ac:dyDescent="0.3">
      <c r="A22" s="6"/>
      <c r="B22" s="6" t="s">
        <v>57</v>
      </c>
      <c r="C22" s="6"/>
      <c r="D22" s="6"/>
      <c r="E22" s="7"/>
      <c r="F22" s="7"/>
    </row>
    <row r="23" spans="1:6" x14ac:dyDescent="0.3">
      <c r="A23" s="5">
        <v>45789</v>
      </c>
      <c r="B23" s="6" t="s">
        <v>41</v>
      </c>
      <c r="C23" s="6" t="s">
        <v>40</v>
      </c>
      <c r="D23" s="6"/>
      <c r="E23" s="7">
        <v>270000</v>
      </c>
      <c r="F23" s="7"/>
    </row>
    <row r="24" spans="1:6" x14ac:dyDescent="0.3">
      <c r="A24" s="6"/>
      <c r="B24" s="6" t="s">
        <v>58</v>
      </c>
      <c r="C24" s="6"/>
      <c r="D24" s="6"/>
      <c r="E24" s="7">
        <v>5000</v>
      </c>
      <c r="F24" s="7"/>
    </row>
    <row r="25" spans="1:6" x14ac:dyDescent="0.3">
      <c r="A25" s="6"/>
      <c r="B25" s="6" t="s">
        <v>59</v>
      </c>
      <c r="C25" s="6"/>
      <c r="D25" s="6"/>
      <c r="E25" s="7"/>
      <c r="F25" s="7">
        <v>275000</v>
      </c>
    </row>
    <row r="26" spans="1:6" x14ac:dyDescent="0.3">
      <c r="A26" s="6"/>
      <c r="B26" s="6" t="s">
        <v>60</v>
      </c>
      <c r="C26" s="6"/>
      <c r="D26" s="6"/>
      <c r="E26" s="7"/>
      <c r="F26" s="7"/>
    </row>
    <row r="27" spans="1:6" x14ac:dyDescent="0.3">
      <c r="A27" s="5">
        <v>45797</v>
      </c>
      <c r="B27" s="6" t="s">
        <v>61</v>
      </c>
      <c r="C27" s="6" t="s">
        <v>40</v>
      </c>
      <c r="D27" s="6"/>
      <c r="E27" s="7">
        <v>8000</v>
      </c>
      <c r="F27" s="7"/>
    </row>
    <row r="28" spans="1:6" x14ac:dyDescent="0.3">
      <c r="A28" s="6"/>
      <c r="B28" s="6" t="s">
        <v>63</v>
      </c>
      <c r="C28" s="6"/>
      <c r="D28" s="6"/>
      <c r="E28" s="7"/>
      <c r="F28" s="7">
        <v>8000</v>
      </c>
    </row>
    <row r="29" spans="1:6" x14ac:dyDescent="0.3">
      <c r="A29" s="6"/>
      <c r="B29" s="6" t="s">
        <v>62</v>
      </c>
      <c r="C29" s="6"/>
      <c r="D29" s="6"/>
      <c r="E29" s="7"/>
      <c r="F29" s="7"/>
    </row>
    <row r="30" spans="1:6" x14ac:dyDescent="0.3">
      <c r="A30" s="5">
        <v>45813</v>
      </c>
      <c r="B30" s="6" t="s">
        <v>61</v>
      </c>
      <c r="C30" s="6" t="s">
        <v>40</v>
      </c>
      <c r="D30" s="6"/>
      <c r="E30" s="7">
        <v>172000</v>
      </c>
      <c r="F30" s="7"/>
    </row>
    <row r="31" spans="1:6" x14ac:dyDescent="0.3">
      <c r="A31" s="6"/>
      <c r="B31" s="6" t="s">
        <v>51</v>
      </c>
      <c r="C31" s="6"/>
      <c r="D31" s="6"/>
      <c r="E31" s="7"/>
      <c r="F31" s="7">
        <v>168000</v>
      </c>
    </row>
    <row r="32" spans="1:6" x14ac:dyDescent="0.3">
      <c r="A32" s="6"/>
      <c r="B32" s="6" t="s">
        <v>64</v>
      </c>
      <c r="C32" s="6"/>
      <c r="D32" s="6"/>
      <c r="E32" s="7"/>
      <c r="F32" s="7">
        <v>4000</v>
      </c>
    </row>
    <row r="33" spans="1:6" x14ac:dyDescent="0.3">
      <c r="A33" s="6"/>
      <c r="B33" s="6" t="s">
        <v>65</v>
      </c>
      <c r="C33" s="6"/>
      <c r="D33" s="6"/>
      <c r="E33" s="7"/>
      <c r="F33" s="7"/>
    </row>
    <row r="34" spans="1:6" x14ac:dyDescent="0.3">
      <c r="A34" s="5">
        <v>45826</v>
      </c>
      <c r="B34" s="6" t="s">
        <v>39</v>
      </c>
      <c r="C34" s="6" t="s">
        <v>40</v>
      </c>
      <c r="D34" s="6"/>
      <c r="E34" s="7">
        <v>95000</v>
      </c>
      <c r="F34" s="7"/>
    </row>
    <row r="35" spans="1:6" x14ac:dyDescent="0.3">
      <c r="A35" s="6"/>
      <c r="B35" s="6" t="s">
        <v>54</v>
      </c>
      <c r="C35" s="6"/>
      <c r="D35" s="6"/>
      <c r="E35" s="7"/>
      <c r="F35" s="7">
        <v>95000</v>
      </c>
    </row>
    <row r="36" spans="1:6" x14ac:dyDescent="0.3">
      <c r="A36" s="6"/>
      <c r="B36" s="6" t="s">
        <v>66</v>
      </c>
      <c r="C36" s="6"/>
      <c r="D36" s="6"/>
      <c r="E36" s="7"/>
      <c r="F36" s="7"/>
    </row>
    <row r="37" spans="1:6" x14ac:dyDescent="0.3">
      <c r="A37" s="5">
        <v>45840</v>
      </c>
      <c r="B37" s="6" t="s">
        <v>67</v>
      </c>
      <c r="C37" s="6" t="s">
        <v>40</v>
      </c>
      <c r="D37" s="6"/>
      <c r="E37" s="7">
        <v>75000</v>
      </c>
      <c r="F37" s="7"/>
    </row>
    <row r="38" spans="1:6" x14ac:dyDescent="0.3">
      <c r="A38" s="6"/>
      <c r="B38" s="6" t="s">
        <v>51</v>
      </c>
      <c r="C38" s="6"/>
      <c r="D38" s="6"/>
      <c r="E38" s="7"/>
      <c r="F38" s="7">
        <v>75000</v>
      </c>
    </row>
    <row r="39" spans="1:6" x14ac:dyDescent="0.3">
      <c r="A39" s="6"/>
      <c r="B39" s="6" t="s">
        <v>68</v>
      </c>
      <c r="C39" s="6"/>
      <c r="D39" s="6"/>
      <c r="E39" s="7"/>
      <c r="F39" s="7"/>
    </row>
    <row r="40" spans="1:6" x14ac:dyDescent="0.3">
      <c r="A40" s="5">
        <v>45857</v>
      </c>
      <c r="B40" s="6" t="s">
        <v>69</v>
      </c>
      <c r="C40" s="6" t="s">
        <v>40</v>
      </c>
      <c r="D40" s="6"/>
      <c r="E40" s="7">
        <v>6000</v>
      </c>
      <c r="F40" s="7"/>
    </row>
    <row r="41" spans="1:6" x14ac:dyDescent="0.3">
      <c r="A41" s="6"/>
      <c r="B41" s="6" t="s">
        <v>70</v>
      </c>
      <c r="C41" s="6"/>
      <c r="D41" s="6"/>
      <c r="E41" s="7"/>
      <c r="F41" s="7">
        <v>6000</v>
      </c>
    </row>
    <row r="42" spans="1:6" x14ac:dyDescent="0.3">
      <c r="A42" s="6"/>
      <c r="B42" s="6" t="s">
        <v>71</v>
      </c>
      <c r="C42" s="6"/>
      <c r="D42" s="6"/>
      <c r="E42" s="7"/>
      <c r="F42" s="7"/>
    </row>
    <row r="43" spans="1:6" x14ac:dyDescent="0.3">
      <c r="A43" s="5">
        <v>45875</v>
      </c>
      <c r="B43" s="6" t="s">
        <v>72</v>
      </c>
      <c r="C43" s="6" t="s">
        <v>40</v>
      </c>
      <c r="D43" s="6"/>
      <c r="E43" s="7">
        <v>7500</v>
      </c>
      <c r="F43" s="7"/>
    </row>
    <row r="44" spans="1:6" x14ac:dyDescent="0.3">
      <c r="A44" s="6"/>
      <c r="B44" s="6" t="s">
        <v>51</v>
      </c>
      <c r="C44" s="6"/>
      <c r="D44" s="6"/>
      <c r="E44" s="7"/>
      <c r="F44" s="7">
        <v>7500</v>
      </c>
    </row>
    <row r="45" spans="1:6" x14ac:dyDescent="0.3">
      <c r="A45" s="6"/>
      <c r="B45" s="6" t="s">
        <v>73</v>
      </c>
      <c r="C45" s="6"/>
      <c r="D45" s="6"/>
      <c r="E45" s="7"/>
      <c r="F45" s="7"/>
    </row>
    <row r="46" spans="1:6" x14ac:dyDescent="0.3">
      <c r="A46" s="5">
        <v>45894</v>
      </c>
      <c r="B46" s="6" t="s">
        <v>39</v>
      </c>
      <c r="C46" s="6" t="s">
        <v>40</v>
      </c>
      <c r="D46" s="6"/>
      <c r="E46" s="7">
        <v>110000</v>
      </c>
      <c r="F46" s="7"/>
    </row>
    <row r="47" spans="1:6" x14ac:dyDescent="0.3">
      <c r="A47" s="6"/>
      <c r="B47" s="6" t="s">
        <v>54</v>
      </c>
      <c r="C47" s="6"/>
      <c r="D47" s="6"/>
      <c r="E47" s="7"/>
      <c r="F47" s="7">
        <v>110000</v>
      </c>
    </row>
    <row r="48" spans="1:6" x14ac:dyDescent="0.3">
      <c r="A48" s="6"/>
      <c r="B48" s="6" t="s">
        <v>66</v>
      </c>
      <c r="C48" s="6"/>
      <c r="D48" s="6"/>
      <c r="E48" s="7"/>
      <c r="F48" s="7"/>
    </row>
    <row r="49" spans="1:6" x14ac:dyDescent="0.3">
      <c r="A49" s="5">
        <v>45905</v>
      </c>
      <c r="B49" s="8" t="s">
        <v>39</v>
      </c>
      <c r="C49" s="6" t="s">
        <v>40</v>
      </c>
      <c r="D49" s="6"/>
      <c r="E49" s="7">
        <v>15000</v>
      </c>
      <c r="F49" s="7"/>
    </row>
    <row r="50" spans="1:6" x14ac:dyDescent="0.3">
      <c r="A50" s="6"/>
      <c r="B50" s="6" t="s">
        <v>107</v>
      </c>
      <c r="C50" s="6"/>
      <c r="D50" s="6"/>
      <c r="E50" s="7"/>
      <c r="F50" s="7">
        <v>15000</v>
      </c>
    </row>
    <row r="51" spans="1:6" x14ac:dyDescent="0.3">
      <c r="A51" s="6"/>
      <c r="B51" s="6" t="s">
        <v>74</v>
      </c>
      <c r="C51" s="6"/>
      <c r="D51" s="6"/>
      <c r="E51" s="7"/>
      <c r="F51" s="7"/>
    </row>
    <row r="52" spans="1:6" x14ac:dyDescent="0.3">
      <c r="A52" s="5">
        <v>45928</v>
      </c>
      <c r="B52" s="6" t="s">
        <v>75</v>
      </c>
      <c r="C52" s="6" t="s">
        <v>40</v>
      </c>
      <c r="D52" s="6"/>
      <c r="E52" s="7">
        <v>30000</v>
      </c>
      <c r="F52" s="7"/>
    </row>
    <row r="53" spans="1:6" x14ac:dyDescent="0.3">
      <c r="A53" s="6"/>
      <c r="B53" s="6" t="s">
        <v>51</v>
      </c>
      <c r="C53" s="6"/>
      <c r="D53" s="6"/>
      <c r="E53" s="7"/>
      <c r="F53" s="7">
        <v>30000</v>
      </c>
    </row>
    <row r="54" spans="1:6" x14ac:dyDescent="0.3">
      <c r="A54" s="6"/>
      <c r="B54" s="6" t="s">
        <v>76</v>
      </c>
      <c r="C54" s="6"/>
      <c r="D54" s="6"/>
      <c r="E54" s="7"/>
      <c r="F54" s="7"/>
    </row>
    <row r="55" spans="1:6" x14ac:dyDescent="0.3">
      <c r="A55" s="5">
        <v>45940</v>
      </c>
      <c r="B55" s="6" t="s">
        <v>77</v>
      </c>
      <c r="C55" s="6" t="s">
        <v>40</v>
      </c>
      <c r="D55" s="6"/>
      <c r="E55" s="7">
        <v>500000</v>
      </c>
      <c r="F55" s="7"/>
    </row>
    <row r="56" spans="1:6" x14ac:dyDescent="0.3">
      <c r="A56" s="6"/>
      <c r="B56" s="6" t="s">
        <v>51</v>
      </c>
      <c r="C56" s="6"/>
      <c r="D56" s="6"/>
      <c r="E56" s="7"/>
      <c r="F56" s="7">
        <v>150000</v>
      </c>
    </row>
    <row r="57" spans="1:6" x14ac:dyDescent="0.3">
      <c r="A57" s="6"/>
      <c r="B57" s="6" t="s">
        <v>78</v>
      </c>
      <c r="C57" s="6"/>
      <c r="D57" s="6"/>
      <c r="E57" s="7"/>
      <c r="F57" s="7">
        <v>350000</v>
      </c>
    </row>
    <row r="58" spans="1:6" x14ac:dyDescent="0.3">
      <c r="A58" s="6"/>
      <c r="B58" s="6" t="s">
        <v>79</v>
      </c>
      <c r="C58" s="6"/>
      <c r="D58" s="6"/>
      <c r="E58" s="7"/>
      <c r="F58" s="7"/>
    </row>
    <row r="59" spans="1:6" x14ac:dyDescent="0.3">
      <c r="A59" s="5">
        <v>45952</v>
      </c>
      <c r="B59" s="6" t="s">
        <v>80</v>
      </c>
      <c r="C59" s="6" t="s">
        <v>40</v>
      </c>
      <c r="D59" s="6"/>
      <c r="E59" s="7">
        <v>18000</v>
      </c>
      <c r="F59" s="7"/>
    </row>
    <row r="60" spans="1:6" x14ac:dyDescent="0.3">
      <c r="A60" s="6"/>
      <c r="B60" s="6" t="s">
        <v>51</v>
      </c>
      <c r="C60" s="6"/>
      <c r="D60" s="6"/>
      <c r="E60" s="7"/>
      <c r="F60" s="7">
        <v>18000</v>
      </c>
    </row>
    <row r="61" spans="1:6" x14ac:dyDescent="0.3">
      <c r="A61" s="6"/>
      <c r="B61" s="6" t="s">
        <v>81</v>
      </c>
      <c r="C61" s="6"/>
      <c r="D61" s="6"/>
      <c r="E61" s="7"/>
      <c r="F61" s="7"/>
    </row>
    <row r="62" spans="1:6" x14ac:dyDescent="0.3">
      <c r="A62" s="5">
        <v>45969</v>
      </c>
      <c r="B62" s="6" t="s">
        <v>44</v>
      </c>
      <c r="C62" s="6" t="s">
        <v>40</v>
      </c>
      <c r="D62" s="6"/>
      <c r="E62" s="7">
        <v>220000</v>
      </c>
      <c r="F62" s="7"/>
    </row>
    <row r="63" spans="1:6" x14ac:dyDescent="0.3">
      <c r="A63" s="6"/>
      <c r="B63" s="6" t="s">
        <v>82</v>
      </c>
      <c r="C63" s="6"/>
      <c r="D63" s="6"/>
      <c r="E63" s="7"/>
      <c r="F63" s="7">
        <v>220000</v>
      </c>
    </row>
    <row r="64" spans="1:6" x14ac:dyDescent="0.3">
      <c r="A64" s="6" t="s">
        <v>83</v>
      </c>
      <c r="B64" s="6" t="s">
        <v>84</v>
      </c>
      <c r="C64" s="6"/>
      <c r="D64" s="6"/>
      <c r="E64" s="7"/>
      <c r="F64" s="7"/>
    </row>
    <row r="65" spans="1:6" x14ac:dyDescent="0.3">
      <c r="A65" s="5">
        <v>45987</v>
      </c>
      <c r="B65" s="6" t="s">
        <v>85</v>
      </c>
      <c r="C65" s="6" t="s">
        <v>40</v>
      </c>
      <c r="D65" s="6"/>
      <c r="E65" s="7">
        <v>340000</v>
      </c>
      <c r="F65" s="7"/>
    </row>
    <row r="66" spans="1:6" x14ac:dyDescent="0.3">
      <c r="A66" s="6"/>
      <c r="B66" s="6" t="s">
        <v>54</v>
      </c>
      <c r="C66" s="6"/>
      <c r="D66" s="6"/>
      <c r="E66" s="7"/>
      <c r="F66" s="7">
        <v>340000</v>
      </c>
    </row>
    <row r="67" spans="1:6" x14ac:dyDescent="0.3">
      <c r="A67" s="6"/>
      <c r="B67" s="6" t="s">
        <v>86</v>
      </c>
      <c r="C67" s="6"/>
      <c r="D67" s="6"/>
      <c r="E67" s="7"/>
      <c r="F67" s="7"/>
    </row>
    <row r="68" spans="1:6" x14ac:dyDescent="0.3">
      <c r="A68" s="5">
        <v>46003</v>
      </c>
      <c r="B68" s="6" t="s">
        <v>87</v>
      </c>
      <c r="C68" s="6" t="s">
        <v>40</v>
      </c>
      <c r="D68" s="6"/>
      <c r="E68" s="7">
        <v>20000</v>
      </c>
      <c r="F68" s="7"/>
    </row>
    <row r="69" spans="1:6" x14ac:dyDescent="0.3">
      <c r="A69" s="6"/>
      <c r="B69" s="6" t="s">
        <v>88</v>
      </c>
      <c r="C69" s="6"/>
      <c r="D69" s="6"/>
      <c r="E69" s="7"/>
      <c r="F69" s="7">
        <v>20000</v>
      </c>
    </row>
    <row r="70" spans="1:6" x14ac:dyDescent="0.3">
      <c r="A70" s="6"/>
      <c r="B70" s="6" t="s">
        <v>89</v>
      </c>
      <c r="C70" s="6"/>
      <c r="D70" s="6"/>
      <c r="E70" s="7"/>
      <c r="F70" s="7"/>
    </row>
    <row r="71" spans="1:6" x14ac:dyDescent="0.3">
      <c r="A71" s="5">
        <v>46009</v>
      </c>
      <c r="B71" s="6" t="s">
        <v>90</v>
      </c>
      <c r="C71" s="6" t="s">
        <v>40</v>
      </c>
      <c r="D71" s="6"/>
      <c r="E71" s="7">
        <v>25000</v>
      </c>
      <c r="F71" s="7"/>
    </row>
    <row r="72" spans="1:6" x14ac:dyDescent="0.3">
      <c r="A72" s="6"/>
      <c r="B72" s="6" t="s">
        <v>48</v>
      </c>
      <c r="C72" s="6"/>
      <c r="D72" s="6"/>
      <c r="E72" s="7"/>
      <c r="F72" s="7">
        <v>25000</v>
      </c>
    </row>
    <row r="73" spans="1:6" x14ac:dyDescent="0.3">
      <c r="A73" s="6"/>
      <c r="B73" s="6" t="s">
        <v>91</v>
      </c>
      <c r="C73" s="6"/>
      <c r="D73" s="6"/>
      <c r="E73" s="7"/>
      <c r="F73" s="7"/>
    </row>
    <row r="74" spans="1:6" x14ac:dyDescent="0.3">
      <c r="A74" s="5">
        <v>46031</v>
      </c>
      <c r="B74" s="6" t="s">
        <v>41</v>
      </c>
      <c r="C74" s="6" t="s">
        <v>40</v>
      </c>
      <c r="D74" s="6"/>
      <c r="E74" s="7">
        <v>250000</v>
      </c>
      <c r="F74" s="7"/>
    </row>
    <row r="75" spans="1:6" x14ac:dyDescent="0.3">
      <c r="A75" s="6"/>
      <c r="B75" s="6" t="s">
        <v>88</v>
      </c>
      <c r="C75" s="6"/>
      <c r="D75" s="6"/>
      <c r="E75" s="7"/>
      <c r="F75" s="7">
        <v>250000</v>
      </c>
    </row>
    <row r="76" spans="1:6" x14ac:dyDescent="0.3">
      <c r="A76" s="6"/>
      <c r="B76" s="6" t="s">
        <v>92</v>
      </c>
      <c r="C76" s="6"/>
      <c r="D76" s="6"/>
      <c r="E76" s="7"/>
      <c r="F76" s="7"/>
    </row>
    <row r="77" spans="1:6" x14ac:dyDescent="0.3">
      <c r="A77" s="5">
        <v>46046</v>
      </c>
      <c r="B77" s="6" t="s">
        <v>93</v>
      </c>
      <c r="C77" s="6" t="s">
        <v>40</v>
      </c>
      <c r="D77" s="6"/>
      <c r="E77" s="7">
        <v>150000</v>
      </c>
      <c r="F77" s="7"/>
    </row>
    <row r="78" spans="1:6" x14ac:dyDescent="0.3">
      <c r="A78" s="6"/>
      <c r="B78" s="6" t="s">
        <v>51</v>
      </c>
      <c r="C78" s="6"/>
      <c r="D78" s="6"/>
      <c r="E78" s="7"/>
      <c r="F78" s="7">
        <v>150000</v>
      </c>
    </row>
    <row r="79" spans="1:6" x14ac:dyDescent="0.3">
      <c r="A79" s="6"/>
      <c r="B79" s="6" t="s">
        <v>94</v>
      </c>
      <c r="C79" s="6"/>
      <c r="D79" s="6"/>
      <c r="E79" s="7"/>
      <c r="F79" s="7"/>
    </row>
    <row r="80" spans="1:6" x14ac:dyDescent="0.3">
      <c r="A80" s="5">
        <v>46059</v>
      </c>
      <c r="B80" s="6" t="s">
        <v>95</v>
      </c>
      <c r="C80" s="6" t="s">
        <v>40</v>
      </c>
      <c r="D80" s="6"/>
      <c r="E80" s="7">
        <v>28000</v>
      </c>
      <c r="F80" s="7"/>
    </row>
    <row r="81" spans="1:6" x14ac:dyDescent="0.3">
      <c r="A81" s="6"/>
      <c r="B81" s="6" t="s">
        <v>48</v>
      </c>
      <c r="C81" s="6"/>
      <c r="D81" s="6"/>
      <c r="E81" s="7"/>
      <c r="F81" s="7">
        <v>28000</v>
      </c>
    </row>
    <row r="82" spans="1:6" x14ac:dyDescent="0.3">
      <c r="A82" s="6"/>
      <c r="B82" s="6" t="s">
        <v>96</v>
      </c>
      <c r="C82" s="6"/>
      <c r="D82" s="6"/>
      <c r="E82" s="7"/>
      <c r="F82" s="7"/>
    </row>
    <row r="83" spans="1:6" x14ac:dyDescent="0.3">
      <c r="A83" s="5">
        <v>46070</v>
      </c>
      <c r="B83" s="6" t="s">
        <v>97</v>
      </c>
      <c r="C83" s="6" t="s">
        <v>40</v>
      </c>
      <c r="D83" s="6"/>
      <c r="E83" s="7">
        <v>70000</v>
      </c>
      <c r="F83" s="7"/>
    </row>
    <row r="84" spans="1:6" x14ac:dyDescent="0.3">
      <c r="A84" s="6"/>
      <c r="B84" s="6" t="s">
        <v>98</v>
      </c>
      <c r="C84" s="6"/>
      <c r="D84" s="6"/>
      <c r="E84" s="7"/>
      <c r="F84" s="7">
        <v>70000</v>
      </c>
    </row>
    <row r="85" spans="1:6" x14ac:dyDescent="0.3">
      <c r="A85" s="6"/>
      <c r="B85" s="6" t="s">
        <v>99</v>
      </c>
      <c r="C85" s="6"/>
      <c r="D85" s="6"/>
      <c r="E85" s="7"/>
      <c r="F85" s="7"/>
    </row>
    <row r="86" spans="1:6" x14ac:dyDescent="0.3">
      <c r="A86" s="5">
        <v>46085</v>
      </c>
      <c r="B86" s="6" t="s">
        <v>100</v>
      </c>
      <c r="C86" s="6" t="s">
        <v>40</v>
      </c>
      <c r="D86" s="6"/>
      <c r="E86" s="7">
        <v>12500</v>
      </c>
      <c r="F86" s="7"/>
    </row>
    <row r="87" spans="1:6" x14ac:dyDescent="0.3">
      <c r="A87" s="6"/>
      <c r="B87" s="6" t="s">
        <v>51</v>
      </c>
      <c r="C87" s="6"/>
      <c r="D87" s="6"/>
      <c r="E87" s="7"/>
      <c r="F87" s="7">
        <v>12500</v>
      </c>
    </row>
    <row r="88" spans="1:6" x14ac:dyDescent="0.3">
      <c r="A88" s="6"/>
      <c r="B88" s="6" t="s">
        <v>101</v>
      </c>
      <c r="C88" s="6"/>
      <c r="D88" s="6"/>
      <c r="E88" s="7"/>
      <c r="F88" s="7"/>
    </row>
    <row r="89" spans="1:6" x14ac:dyDescent="0.3">
      <c r="A89" s="5">
        <v>46096</v>
      </c>
      <c r="B89" s="6" t="s">
        <v>41</v>
      </c>
      <c r="C89" s="6" t="s">
        <v>40</v>
      </c>
      <c r="D89" s="6"/>
      <c r="E89" s="7">
        <v>200000</v>
      </c>
      <c r="F89" s="7"/>
    </row>
    <row r="90" spans="1:6" x14ac:dyDescent="0.3">
      <c r="A90" s="6" t="s">
        <v>83</v>
      </c>
      <c r="B90" s="6" t="s">
        <v>78</v>
      </c>
      <c r="C90" s="6"/>
      <c r="D90" s="6"/>
      <c r="E90" s="7"/>
      <c r="F90" s="7">
        <v>200000</v>
      </c>
    </row>
    <row r="91" spans="1:6" x14ac:dyDescent="0.3">
      <c r="A91" s="6"/>
      <c r="B91" s="6" t="s">
        <v>102</v>
      </c>
      <c r="C91" s="6"/>
      <c r="D91" s="6"/>
      <c r="E91" s="7"/>
      <c r="F91" s="7"/>
    </row>
    <row r="92" spans="1:6" x14ac:dyDescent="0.3">
      <c r="A92" s="5">
        <v>46108</v>
      </c>
      <c r="B92" s="6" t="s">
        <v>103</v>
      </c>
      <c r="C92" s="6" t="s">
        <v>40</v>
      </c>
      <c r="D92" s="6"/>
      <c r="E92" s="7">
        <v>72000</v>
      </c>
      <c r="F92" s="7"/>
    </row>
    <row r="93" spans="1:6" x14ac:dyDescent="0.3">
      <c r="A93" s="6"/>
      <c r="B93" s="6" t="s">
        <v>51</v>
      </c>
      <c r="C93" s="6"/>
      <c r="D93" s="6"/>
      <c r="E93" s="7"/>
      <c r="F93" s="7">
        <v>72000</v>
      </c>
    </row>
    <row r="94" spans="1:6" x14ac:dyDescent="0.3">
      <c r="A94" s="6"/>
      <c r="B94" s="6" t="s">
        <v>104</v>
      </c>
      <c r="C94" s="6"/>
      <c r="D94" s="6"/>
      <c r="E94" s="7"/>
      <c r="F94" s="7"/>
    </row>
    <row r="95" spans="1:6" x14ac:dyDescent="0.3">
      <c r="A95" s="5">
        <v>46112</v>
      </c>
      <c r="B95" s="6" t="s">
        <v>41</v>
      </c>
      <c r="C95" s="6" t="s">
        <v>40</v>
      </c>
      <c r="D95" s="6"/>
      <c r="E95" s="7">
        <v>24000</v>
      </c>
      <c r="F95" s="7"/>
    </row>
    <row r="96" spans="1:6" x14ac:dyDescent="0.3">
      <c r="A96" s="6"/>
      <c r="B96" s="6" t="s">
        <v>106</v>
      </c>
      <c r="C96" s="6"/>
      <c r="D96" s="6"/>
      <c r="E96" s="7"/>
      <c r="F96" s="7">
        <v>24000</v>
      </c>
    </row>
    <row r="97" spans="1:6" x14ac:dyDescent="0.3">
      <c r="A97" s="6"/>
      <c r="B97" s="6" t="s">
        <v>105</v>
      </c>
      <c r="C97" s="6"/>
      <c r="D97" s="6"/>
      <c r="E97" s="7"/>
      <c r="F97" s="7"/>
    </row>
    <row r="98" spans="1:6" x14ac:dyDescent="0.3">
      <c r="E98" s="3"/>
      <c r="F98" s="3"/>
    </row>
    <row r="99" spans="1:6" x14ac:dyDescent="0.3">
      <c r="E99" s="3"/>
      <c r="F99" s="3"/>
    </row>
    <row r="100" spans="1:6" x14ac:dyDescent="0.3">
      <c r="E100" s="3"/>
      <c r="F100" s="3"/>
    </row>
    <row r="101" spans="1:6" x14ac:dyDescent="0.3">
      <c r="E101" s="3"/>
      <c r="F101" s="3"/>
    </row>
    <row r="102" spans="1:6" x14ac:dyDescent="0.3">
      <c r="E102" s="3"/>
      <c r="F102" s="3"/>
    </row>
    <row r="103" spans="1:6" x14ac:dyDescent="0.3">
      <c r="E103" s="3"/>
      <c r="F103" s="3"/>
    </row>
    <row r="104" spans="1:6" x14ac:dyDescent="0.3">
      <c r="E104" s="3"/>
      <c r="F104" s="3"/>
    </row>
    <row r="105" spans="1:6" x14ac:dyDescent="0.3">
      <c r="E105" s="3"/>
      <c r="F105" s="3"/>
    </row>
    <row r="106" spans="1:6" x14ac:dyDescent="0.3">
      <c r="E106" s="3"/>
      <c r="F106" s="3"/>
    </row>
    <row r="107" spans="1:6" x14ac:dyDescent="0.3">
      <c r="E107" s="3"/>
      <c r="F107" s="3"/>
    </row>
    <row r="108" spans="1:6" x14ac:dyDescent="0.3">
      <c r="E108" s="3"/>
      <c r="F108" s="3"/>
    </row>
    <row r="109" spans="1:6" x14ac:dyDescent="0.3">
      <c r="E109" s="3"/>
      <c r="F109" s="3"/>
    </row>
    <row r="110" spans="1:6" x14ac:dyDescent="0.3">
      <c r="E110" s="3"/>
      <c r="F110" s="3"/>
    </row>
    <row r="111" spans="1:6" x14ac:dyDescent="0.3">
      <c r="E111" s="3"/>
      <c r="F111" s="3"/>
    </row>
    <row r="112" spans="1:6" x14ac:dyDescent="0.3">
      <c r="E112" s="3"/>
      <c r="F112" s="3"/>
    </row>
    <row r="113" spans="5:6" x14ac:dyDescent="0.3">
      <c r="E113" s="3"/>
      <c r="F113" s="3"/>
    </row>
    <row r="114" spans="5:6" x14ac:dyDescent="0.3">
      <c r="E114" s="3"/>
      <c r="F114" s="3"/>
    </row>
    <row r="115" spans="5:6" x14ac:dyDescent="0.3">
      <c r="E115" s="3"/>
      <c r="F115" s="3"/>
    </row>
    <row r="116" spans="5:6" x14ac:dyDescent="0.3">
      <c r="E116" s="3"/>
      <c r="F116" s="3"/>
    </row>
    <row r="117" spans="5:6" x14ac:dyDescent="0.3">
      <c r="E117" s="3"/>
      <c r="F117" s="3"/>
    </row>
    <row r="118" spans="5:6" x14ac:dyDescent="0.3">
      <c r="E118" s="3"/>
      <c r="F118" s="3"/>
    </row>
    <row r="119" spans="5:6" x14ac:dyDescent="0.3">
      <c r="E119" s="3"/>
      <c r="F119" s="3"/>
    </row>
    <row r="120" spans="5:6" x14ac:dyDescent="0.3">
      <c r="E120" s="3"/>
      <c r="F120" s="3"/>
    </row>
    <row r="121" spans="5:6" x14ac:dyDescent="0.3">
      <c r="E121" s="3"/>
      <c r="F121" s="3"/>
    </row>
    <row r="122" spans="5:6" x14ac:dyDescent="0.3">
      <c r="E122" s="3"/>
      <c r="F122" s="3"/>
    </row>
    <row r="123" spans="5:6" x14ac:dyDescent="0.3">
      <c r="E123" s="3"/>
      <c r="F123" s="3"/>
    </row>
    <row r="124" spans="5:6" x14ac:dyDescent="0.3">
      <c r="E124" s="3"/>
      <c r="F124" s="3"/>
    </row>
    <row r="125" spans="5:6" x14ac:dyDescent="0.3">
      <c r="E125" s="3"/>
      <c r="F125" s="3"/>
    </row>
    <row r="126" spans="5:6" x14ac:dyDescent="0.3">
      <c r="E126" s="3"/>
      <c r="F126" s="3"/>
    </row>
    <row r="127" spans="5:6" x14ac:dyDescent="0.3">
      <c r="E127" s="3"/>
      <c r="F127" s="3"/>
    </row>
    <row r="128" spans="5:6" x14ac:dyDescent="0.3">
      <c r="E128" s="3"/>
      <c r="F128" s="3"/>
    </row>
    <row r="129" spans="5:6" x14ac:dyDescent="0.3">
      <c r="E129" s="3"/>
      <c r="F129" s="3"/>
    </row>
    <row r="130" spans="5:6" x14ac:dyDescent="0.3">
      <c r="E130" s="3"/>
      <c r="F130" s="3"/>
    </row>
    <row r="131" spans="5:6" x14ac:dyDescent="0.3">
      <c r="E131" s="3"/>
      <c r="F131" s="3"/>
    </row>
    <row r="132" spans="5:6" x14ac:dyDescent="0.3">
      <c r="E132" s="3"/>
      <c r="F132" s="3"/>
    </row>
    <row r="133" spans="5:6" x14ac:dyDescent="0.3">
      <c r="E133" s="3"/>
      <c r="F133" s="3"/>
    </row>
    <row r="134" spans="5:6" x14ac:dyDescent="0.3">
      <c r="E134" s="3"/>
      <c r="F134" s="3"/>
    </row>
    <row r="135" spans="5:6" x14ac:dyDescent="0.3">
      <c r="E135" s="3"/>
      <c r="F135" s="3"/>
    </row>
    <row r="136" spans="5:6" x14ac:dyDescent="0.3">
      <c r="E136" s="3"/>
      <c r="F136" s="3"/>
    </row>
    <row r="137" spans="5:6" x14ac:dyDescent="0.3">
      <c r="E137" s="3"/>
      <c r="F137" s="3"/>
    </row>
    <row r="138" spans="5:6" x14ac:dyDescent="0.3">
      <c r="E138" s="3"/>
      <c r="F138" s="3"/>
    </row>
    <row r="139" spans="5:6" x14ac:dyDescent="0.3">
      <c r="E139" s="3"/>
      <c r="F139" s="3"/>
    </row>
    <row r="140" spans="5:6" x14ac:dyDescent="0.3">
      <c r="E140" s="3"/>
      <c r="F140" s="3"/>
    </row>
    <row r="141" spans="5:6" x14ac:dyDescent="0.3">
      <c r="E141" s="3"/>
      <c r="F141" s="3"/>
    </row>
    <row r="142" spans="5:6" x14ac:dyDescent="0.3">
      <c r="E142" s="3"/>
      <c r="F142" s="3"/>
    </row>
    <row r="143" spans="5:6" x14ac:dyDescent="0.3">
      <c r="E143" s="3"/>
      <c r="F143" s="3"/>
    </row>
    <row r="144" spans="5:6" x14ac:dyDescent="0.3">
      <c r="E144" s="3"/>
      <c r="F144" s="3"/>
    </row>
    <row r="145" spans="5:6" x14ac:dyDescent="0.3">
      <c r="E145" s="3"/>
      <c r="F145" s="3"/>
    </row>
    <row r="146" spans="5:6" x14ac:dyDescent="0.3">
      <c r="E146" s="3"/>
      <c r="F146" s="3"/>
    </row>
    <row r="147" spans="5:6" x14ac:dyDescent="0.3">
      <c r="E147" s="3"/>
      <c r="F147" s="3"/>
    </row>
    <row r="148" spans="5:6" x14ac:dyDescent="0.3">
      <c r="E148" s="3"/>
      <c r="F148" s="3"/>
    </row>
    <row r="149" spans="5:6" x14ac:dyDescent="0.3">
      <c r="E149" s="3"/>
      <c r="F149" s="3"/>
    </row>
    <row r="150" spans="5:6" x14ac:dyDescent="0.3">
      <c r="E150" s="3"/>
      <c r="F150" s="3"/>
    </row>
    <row r="151" spans="5:6" x14ac:dyDescent="0.3">
      <c r="E151" s="3"/>
      <c r="F151" s="3"/>
    </row>
    <row r="152" spans="5:6" x14ac:dyDescent="0.3">
      <c r="E152" s="3"/>
      <c r="F152" s="3"/>
    </row>
    <row r="153" spans="5:6" x14ac:dyDescent="0.3">
      <c r="E153" s="3"/>
      <c r="F153" s="3"/>
    </row>
    <row r="154" spans="5:6" x14ac:dyDescent="0.3">
      <c r="E154" s="3"/>
      <c r="F154" s="3"/>
    </row>
    <row r="155" spans="5:6" x14ac:dyDescent="0.3">
      <c r="E155" s="3"/>
      <c r="F155" s="3"/>
    </row>
    <row r="156" spans="5:6" x14ac:dyDescent="0.3">
      <c r="E156" s="3"/>
      <c r="F156" s="3"/>
    </row>
    <row r="157" spans="5:6" x14ac:dyDescent="0.3">
      <c r="E157" s="3"/>
      <c r="F157" s="3"/>
    </row>
    <row r="158" spans="5:6" x14ac:dyDescent="0.3">
      <c r="E158" s="3"/>
      <c r="F158" s="3"/>
    </row>
    <row r="159" spans="5:6" x14ac:dyDescent="0.3">
      <c r="E159" s="3"/>
      <c r="F159" s="3"/>
    </row>
    <row r="160" spans="5:6" x14ac:dyDescent="0.3">
      <c r="E160" s="3"/>
      <c r="F160" s="3"/>
    </row>
    <row r="161" spans="5:6" x14ac:dyDescent="0.3">
      <c r="E161" s="3"/>
      <c r="F161" s="3"/>
    </row>
    <row r="162" spans="5:6" x14ac:dyDescent="0.3">
      <c r="E162" s="3"/>
      <c r="F162" s="3"/>
    </row>
    <row r="163" spans="5:6" x14ac:dyDescent="0.3">
      <c r="E163" s="3"/>
      <c r="F163" s="3"/>
    </row>
    <row r="164" spans="5:6" x14ac:dyDescent="0.3">
      <c r="E164" s="3"/>
      <c r="F164" s="3"/>
    </row>
    <row r="165" spans="5:6" x14ac:dyDescent="0.3">
      <c r="E165" s="3"/>
      <c r="F165" s="3"/>
    </row>
    <row r="166" spans="5:6" x14ac:dyDescent="0.3">
      <c r="E166" s="3"/>
      <c r="F166" s="3"/>
    </row>
    <row r="167" spans="5:6" x14ac:dyDescent="0.3">
      <c r="E167" s="3"/>
      <c r="F167" s="3"/>
    </row>
    <row r="168" spans="5:6" x14ac:dyDescent="0.3">
      <c r="E168" s="3"/>
      <c r="F168" s="3"/>
    </row>
    <row r="169" spans="5:6" x14ac:dyDescent="0.3">
      <c r="E169" s="3"/>
      <c r="F169" s="3"/>
    </row>
    <row r="170" spans="5:6" x14ac:dyDescent="0.3">
      <c r="E170" s="3"/>
      <c r="F170" s="3"/>
    </row>
    <row r="171" spans="5:6" x14ac:dyDescent="0.3">
      <c r="E171" s="3"/>
      <c r="F171" s="3"/>
    </row>
    <row r="172" spans="5:6" x14ac:dyDescent="0.3">
      <c r="E172" s="3"/>
      <c r="F172" s="3"/>
    </row>
    <row r="173" spans="5:6" x14ac:dyDescent="0.3">
      <c r="E173" s="3"/>
      <c r="F173" s="3"/>
    </row>
    <row r="174" spans="5:6" x14ac:dyDescent="0.3">
      <c r="E174" s="3"/>
      <c r="F174" s="3"/>
    </row>
    <row r="175" spans="5:6" x14ac:dyDescent="0.3">
      <c r="E175" s="3"/>
      <c r="F175" s="3"/>
    </row>
    <row r="176" spans="5:6" x14ac:dyDescent="0.3">
      <c r="E176" s="3"/>
      <c r="F176" s="3"/>
    </row>
    <row r="177" spans="5:6" x14ac:dyDescent="0.3">
      <c r="E177" s="3"/>
      <c r="F177" s="3"/>
    </row>
    <row r="178" spans="5:6" x14ac:dyDescent="0.3">
      <c r="E178" s="3"/>
      <c r="F178" s="3"/>
    </row>
    <row r="179" spans="5:6" x14ac:dyDescent="0.3">
      <c r="E179" s="3"/>
      <c r="F179" s="3"/>
    </row>
    <row r="180" spans="5:6" x14ac:dyDescent="0.3">
      <c r="E180" s="3"/>
      <c r="F180" s="3"/>
    </row>
    <row r="181" spans="5:6" x14ac:dyDescent="0.3">
      <c r="E181" s="3"/>
      <c r="F181" s="3"/>
    </row>
    <row r="182" spans="5:6" x14ac:dyDescent="0.3">
      <c r="E182" s="3"/>
      <c r="F182" s="3"/>
    </row>
    <row r="183" spans="5:6" x14ac:dyDescent="0.3">
      <c r="E183" s="3"/>
      <c r="F183" s="3"/>
    </row>
    <row r="184" spans="5:6" x14ac:dyDescent="0.3">
      <c r="E184" s="3"/>
      <c r="F184" s="3"/>
    </row>
    <row r="185" spans="5:6" x14ac:dyDescent="0.3">
      <c r="E185" s="3"/>
      <c r="F185" s="3"/>
    </row>
    <row r="186" spans="5:6" x14ac:dyDescent="0.3">
      <c r="E186" s="3"/>
      <c r="F186" s="3"/>
    </row>
    <row r="187" spans="5:6" x14ac:dyDescent="0.3">
      <c r="E187" s="3"/>
      <c r="F187" s="3"/>
    </row>
    <row r="188" spans="5:6" x14ac:dyDescent="0.3">
      <c r="E188" s="3"/>
      <c r="F188" s="3"/>
    </row>
    <row r="189" spans="5:6" x14ac:dyDescent="0.3">
      <c r="E189" s="3"/>
      <c r="F189" s="3"/>
    </row>
    <row r="190" spans="5:6" x14ac:dyDescent="0.3">
      <c r="E190" s="3"/>
      <c r="F190" s="3"/>
    </row>
    <row r="191" spans="5:6" x14ac:dyDescent="0.3">
      <c r="E191" s="3"/>
      <c r="F191" s="3"/>
    </row>
    <row r="192" spans="5:6" x14ac:dyDescent="0.3">
      <c r="E192" s="3"/>
      <c r="F192" s="3"/>
    </row>
    <row r="193" spans="5:6" x14ac:dyDescent="0.3">
      <c r="E193" s="3"/>
      <c r="F193" s="3"/>
    </row>
    <row r="194" spans="5:6" x14ac:dyDescent="0.3">
      <c r="E194" s="3"/>
      <c r="F194" s="3"/>
    </row>
    <row r="195" spans="5:6" x14ac:dyDescent="0.3">
      <c r="E195" s="3"/>
      <c r="F195" s="3"/>
    </row>
    <row r="196" spans="5:6" x14ac:dyDescent="0.3">
      <c r="E196" s="3"/>
      <c r="F196" s="3"/>
    </row>
    <row r="197" spans="5:6" x14ac:dyDescent="0.3">
      <c r="E197" s="3"/>
      <c r="F197" s="3"/>
    </row>
    <row r="198" spans="5:6" x14ac:dyDescent="0.3">
      <c r="E198" s="3"/>
      <c r="F198" s="3"/>
    </row>
    <row r="199" spans="5:6" x14ac:dyDescent="0.3">
      <c r="E199" s="3"/>
      <c r="F199" s="3"/>
    </row>
    <row r="200" spans="5:6" x14ac:dyDescent="0.3">
      <c r="E200" s="3"/>
      <c r="F200" s="3"/>
    </row>
    <row r="201" spans="5:6" x14ac:dyDescent="0.3">
      <c r="E201" s="3"/>
      <c r="F201" s="3"/>
    </row>
    <row r="202" spans="5:6" x14ac:dyDescent="0.3">
      <c r="E202" s="3"/>
      <c r="F202" s="3"/>
    </row>
    <row r="203" spans="5:6" x14ac:dyDescent="0.3">
      <c r="E203" s="3"/>
      <c r="F203" s="3"/>
    </row>
    <row r="204" spans="5:6" x14ac:dyDescent="0.3">
      <c r="E204" s="3"/>
      <c r="F204" s="3"/>
    </row>
    <row r="205" spans="5:6" x14ac:dyDescent="0.3">
      <c r="E205" s="3"/>
      <c r="F205" s="3"/>
    </row>
    <row r="206" spans="5:6" x14ac:dyDescent="0.3">
      <c r="E206" s="3"/>
      <c r="F206" s="3"/>
    </row>
    <row r="207" spans="5:6" x14ac:dyDescent="0.3">
      <c r="E207" s="3"/>
      <c r="F207" s="3"/>
    </row>
    <row r="208" spans="5:6" x14ac:dyDescent="0.3">
      <c r="E208" s="3"/>
      <c r="F208" s="3"/>
    </row>
    <row r="209" spans="5:6" x14ac:dyDescent="0.3">
      <c r="E209" s="3"/>
      <c r="F209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BF11-1B35-41EB-8588-11B3A845E613}">
  <dimension ref="A1:L273"/>
  <sheetViews>
    <sheetView topLeftCell="A159" workbookViewId="0">
      <selection activeCell="F35" sqref="F35"/>
    </sheetView>
  </sheetViews>
  <sheetFormatPr defaultRowHeight="14.4" x14ac:dyDescent="0.3"/>
  <cols>
    <col min="1" max="1" width="14.88671875" customWidth="1"/>
    <col min="2" max="2" width="36.33203125" customWidth="1"/>
    <col min="3" max="3" width="4.77734375" customWidth="1"/>
    <col min="4" max="4" width="18.33203125" style="3" customWidth="1"/>
    <col min="5" max="5" width="14.88671875" customWidth="1"/>
    <col min="6" max="6" width="36.33203125" customWidth="1"/>
    <col min="7" max="7" width="4.77734375" customWidth="1"/>
    <col min="8" max="8" width="18.33203125" style="3" customWidth="1"/>
  </cols>
  <sheetData>
    <row r="1" spans="1:8" ht="20.399999999999999" x14ac:dyDescent="0.35">
      <c r="A1" s="64" t="s">
        <v>113</v>
      </c>
      <c r="B1" s="64"/>
      <c r="C1" s="64"/>
      <c r="D1" s="64"/>
      <c r="E1" s="64"/>
      <c r="F1" s="64"/>
      <c r="G1" s="64"/>
      <c r="H1" s="64"/>
    </row>
    <row r="3" spans="1:8" ht="17.399999999999999" x14ac:dyDescent="0.3">
      <c r="A3" s="9" t="s">
        <v>110</v>
      </c>
      <c r="B3" s="9"/>
      <c r="C3" s="63" t="s">
        <v>112</v>
      </c>
      <c r="D3" s="63"/>
      <c r="E3" s="63"/>
      <c r="F3" s="63"/>
      <c r="G3" s="9"/>
      <c r="H3" s="10" t="s">
        <v>111</v>
      </c>
    </row>
    <row r="4" spans="1:8" ht="15.6" x14ac:dyDescent="0.3">
      <c r="A4" s="4" t="s">
        <v>0</v>
      </c>
      <c r="B4" s="4" t="s">
        <v>1</v>
      </c>
      <c r="C4" s="4" t="s">
        <v>108</v>
      </c>
      <c r="D4" s="11" t="s">
        <v>109</v>
      </c>
      <c r="E4" s="4" t="s">
        <v>0</v>
      </c>
      <c r="F4" s="4" t="s">
        <v>1</v>
      </c>
      <c r="G4" s="4" t="s">
        <v>108</v>
      </c>
      <c r="H4" s="11" t="s">
        <v>109</v>
      </c>
    </row>
    <row r="5" spans="1:8" x14ac:dyDescent="0.3">
      <c r="A5" s="5">
        <v>46112</v>
      </c>
      <c r="B5" s="6" t="s">
        <v>116</v>
      </c>
      <c r="C5" s="6"/>
      <c r="D5" s="7">
        <v>1200000</v>
      </c>
      <c r="E5" s="5">
        <v>45748</v>
      </c>
      <c r="F5" s="6" t="s">
        <v>114</v>
      </c>
      <c r="G5" s="6"/>
      <c r="H5" s="7">
        <v>400000</v>
      </c>
    </row>
    <row r="6" spans="1:8" x14ac:dyDescent="0.3">
      <c r="A6" s="6"/>
      <c r="B6" s="6"/>
      <c r="C6" s="6"/>
      <c r="D6" s="7"/>
      <c r="E6" s="5">
        <v>45748</v>
      </c>
      <c r="F6" s="6" t="s">
        <v>115</v>
      </c>
      <c r="G6" s="6"/>
      <c r="H6" s="7">
        <v>800000</v>
      </c>
    </row>
    <row r="7" spans="1:8" x14ac:dyDescent="0.3">
      <c r="A7" s="6"/>
      <c r="B7" s="6"/>
      <c r="C7" s="6"/>
      <c r="D7" s="7"/>
      <c r="E7" s="6"/>
      <c r="F7" s="6"/>
      <c r="G7" s="6"/>
      <c r="H7" s="7"/>
    </row>
    <row r="8" spans="1:8" x14ac:dyDescent="0.3">
      <c r="A8" s="6"/>
      <c r="B8" s="6"/>
      <c r="C8" s="6"/>
      <c r="D8" s="12">
        <v>1200000</v>
      </c>
      <c r="E8" s="6"/>
      <c r="F8" s="6"/>
      <c r="G8" s="6"/>
      <c r="H8" s="12">
        <v>1200000</v>
      </c>
    </row>
    <row r="9" spans="1:8" x14ac:dyDescent="0.3">
      <c r="A9" s="6"/>
      <c r="B9" s="6"/>
      <c r="C9" s="6"/>
      <c r="D9" s="7"/>
      <c r="E9" s="5">
        <v>46113</v>
      </c>
      <c r="F9" s="6" t="s">
        <v>117</v>
      </c>
      <c r="G9" s="6"/>
      <c r="H9" s="12">
        <v>1200000</v>
      </c>
    </row>
    <row r="12" spans="1:8" ht="17.399999999999999" x14ac:dyDescent="0.3">
      <c r="A12" s="9" t="s">
        <v>110</v>
      </c>
      <c r="B12" s="9"/>
      <c r="C12" s="63" t="s">
        <v>39</v>
      </c>
      <c r="D12" s="63"/>
      <c r="E12" s="63"/>
      <c r="F12" s="63"/>
      <c r="G12" s="9"/>
      <c r="H12" s="10" t="s">
        <v>111</v>
      </c>
    </row>
    <row r="13" spans="1:8" ht="15.6" x14ac:dyDescent="0.3">
      <c r="A13" s="4" t="s">
        <v>0</v>
      </c>
      <c r="B13" s="4" t="s">
        <v>1</v>
      </c>
      <c r="C13" s="4" t="s">
        <v>108</v>
      </c>
      <c r="D13" s="11" t="s">
        <v>109</v>
      </c>
      <c r="E13" s="4" t="s">
        <v>0</v>
      </c>
      <c r="F13" s="4" t="s">
        <v>1</v>
      </c>
      <c r="G13" s="4" t="s">
        <v>108</v>
      </c>
      <c r="H13" s="11" t="s">
        <v>109</v>
      </c>
    </row>
    <row r="14" spans="1:8" x14ac:dyDescent="0.3">
      <c r="A14" s="5">
        <v>45748</v>
      </c>
      <c r="B14" s="6" t="s">
        <v>118</v>
      </c>
      <c r="C14" s="6"/>
      <c r="D14" s="15">
        <v>400000</v>
      </c>
      <c r="E14" s="5">
        <v>45755</v>
      </c>
      <c r="F14" s="6" t="s">
        <v>119</v>
      </c>
      <c r="G14" s="6"/>
      <c r="H14" s="15">
        <v>4500</v>
      </c>
    </row>
    <row r="15" spans="1:8" x14ac:dyDescent="0.3">
      <c r="A15" s="5">
        <v>45826</v>
      </c>
      <c r="B15" s="6" t="s">
        <v>121</v>
      </c>
      <c r="C15" s="6"/>
      <c r="D15" s="15">
        <v>95000</v>
      </c>
      <c r="E15" s="5">
        <v>45780</v>
      </c>
      <c r="F15" s="6" t="s">
        <v>120</v>
      </c>
      <c r="G15" s="6"/>
      <c r="H15" s="15">
        <v>3500</v>
      </c>
    </row>
    <row r="16" spans="1:8" x14ac:dyDescent="0.3">
      <c r="A16" s="5">
        <v>45894</v>
      </c>
      <c r="B16" s="6" t="s">
        <v>121</v>
      </c>
      <c r="C16" s="6"/>
      <c r="D16" s="15">
        <v>110000</v>
      </c>
      <c r="E16" s="5">
        <v>46059</v>
      </c>
      <c r="F16" s="6" t="s">
        <v>123</v>
      </c>
      <c r="G16" s="6"/>
      <c r="H16" s="15">
        <v>28000</v>
      </c>
    </row>
    <row r="17" spans="1:11" x14ac:dyDescent="0.3">
      <c r="A17" s="5">
        <v>45905</v>
      </c>
      <c r="B17" s="6" t="s">
        <v>122</v>
      </c>
      <c r="C17" s="6"/>
      <c r="D17" s="15">
        <v>15000</v>
      </c>
      <c r="E17" s="5">
        <v>46009</v>
      </c>
      <c r="F17" s="6" t="s">
        <v>176</v>
      </c>
      <c r="G17" s="6"/>
      <c r="H17" s="15">
        <v>25000</v>
      </c>
    </row>
    <row r="18" spans="1:11" x14ac:dyDescent="0.3">
      <c r="A18" s="6"/>
      <c r="B18" s="6"/>
      <c r="C18" s="6"/>
      <c r="D18" s="7"/>
      <c r="E18" s="5">
        <v>46112</v>
      </c>
      <c r="F18" s="6" t="s">
        <v>117</v>
      </c>
      <c r="G18" s="6"/>
      <c r="H18" s="15">
        <f>SUM(D20-61000)</f>
        <v>559000</v>
      </c>
      <c r="I18" s="16"/>
      <c r="K18" s="16"/>
    </row>
    <row r="19" spans="1:11" x14ac:dyDescent="0.3">
      <c r="A19" s="6"/>
      <c r="B19" s="6"/>
      <c r="C19" s="6"/>
      <c r="D19" s="7"/>
      <c r="E19" s="6"/>
      <c r="F19" s="6"/>
      <c r="G19" s="6"/>
      <c r="H19" s="7"/>
    </row>
    <row r="20" spans="1:11" x14ac:dyDescent="0.3">
      <c r="A20" s="6"/>
      <c r="B20" s="6"/>
      <c r="C20" s="6"/>
      <c r="D20" s="12">
        <f>SUM(D14:D18)</f>
        <v>620000</v>
      </c>
      <c r="E20" s="6"/>
      <c r="F20" s="6"/>
      <c r="G20" s="6"/>
      <c r="H20" s="12">
        <f>SUM(H14:H18)</f>
        <v>620000</v>
      </c>
    </row>
    <row r="21" spans="1:11" x14ac:dyDescent="0.3">
      <c r="A21" s="5">
        <v>46113</v>
      </c>
      <c r="B21" s="6" t="s">
        <v>124</v>
      </c>
      <c r="C21" s="6"/>
      <c r="D21" s="12">
        <v>559000</v>
      </c>
      <c r="E21" s="6"/>
      <c r="F21" s="6"/>
      <c r="G21" s="6"/>
      <c r="H21" s="7"/>
    </row>
    <row r="24" spans="1:11" ht="17.399999999999999" x14ac:dyDescent="0.3">
      <c r="A24" s="9" t="s">
        <v>110</v>
      </c>
      <c r="B24" s="9"/>
      <c r="C24" s="63" t="s">
        <v>41</v>
      </c>
      <c r="D24" s="63"/>
      <c r="E24" s="63"/>
      <c r="F24" s="63"/>
      <c r="G24" s="9"/>
      <c r="H24" s="10" t="s">
        <v>111</v>
      </c>
    </row>
    <row r="25" spans="1:11" ht="15.6" x14ac:dyDescent="0.3">
      <c r="A25" s="4" t="s">
        <v>0</v>
      </c>
      <c r="B25" s="4" t="s">
        <v>1</v>
      </c>
      <c r="C25" s="4" t="s">
        <v>108</v>
      </c>
      <c r="D25" s="11" t="s">
        <v>109</v>
      </c>
      <c r="E25" s="4" t="s">
        <v>0</v>
      </c>
      <c r="F25" s="4" t="s">
        <v>1</v>
      </c>
      <c r="G25" s="4" t="s">
        <v>108</v>
      </c>
      <c r="H25" s="11" t="s">
        <v>109</v>
      </c>
    </row>
    <row r="26" spans="1:11" x14ac:dyDescent="0.3">
      <c r="A26" s="5">
        <v>45748</v>
      </c>
      <c r="B26" s="6" t="s">
        <v>125</v>
      </c>
      <c r="C26" s="6"/>
      <c r="D26" s="15">
        <v>800000</v>
      </c>
      <c r="E26" s="5">
        <v>45762</v>
      </c>
      <c r="F26" s="6" t="s">
        <v>126</v>
      </c>
      <c r="G26" s="6"/>
      <c r="H26" s="15">
        <v>60000</v>
      </c>
    </row>
    <row r="27" spans="1:11" x14ac:dyDescent="0.3">
      <c r="A27" s="5">
        <v>45789</v>
      </c>
      <c r="B27" s="6" t="s">
        <v>127</v>
      </c>
      <c r="C27" s="6"/>
      <c r="D27" s="15">
        <v>270000</v>
      </c>
      <c r="E27" s="5">
        <v>45813</v>
      </c>
      <c r="F27" s="6" t="s">
        <v>128</v>
      </c>
      <c r="G27" s="6"/>
      <c r="H27" s="15">
        <v>168000</v>
      </c>
    </row>
    <row r="28" spans="1:11" x14ac:dyDescent="0.3">
      <c r="A28" s="5">
        <v>46031</v>
      </c>
      <c r="B28" s="6" t="s">
        <v>134</v>
      </c>
      <c r="C28" s="6"/>
      <c r="D28" s="15">
        <v>250000</v>
      </c>
      <c r="E28" s="5">
        <v>45840</v>
      </c>
      <c r="F28" s="6" t="s">
        <v>129</v>
      </c>
      <c r="G28" s="6"/>
      <c r="H28" s="15">
        <v>75000</v>
      </c>
    </row>
    <row r="29" spans="1:11" x14ac:dyDescent="0.3">
      <c r="A29" s="5">
        <v>46096</v>
      </c>
      <c r="B29" s="6" t="s">
        <v>135</v>
      </c>
      <c r="C29" s="6"/>
      <c r="D29" s="15">
        <v>200000</v>
      </c>
      <c r="E29" s="5">
        <v>45875</v>
      </c>
      <c r="F29" s="6" t="s">
        <v>130</v>
      </c>
      <c r="G29" s="6"/>
      <c r="H29" s="15">
        <v>7500</v>
      </c>
    </row>
    <row r="30" spans="1:11" x14ac:dyDescent="0.3">
      <c r="A30" s="5">
        <v>46112</v>
      </c>
      <c r="B30" s="6" t="s">
        <v>136</v>
      </c>
      <c r="C30" s="6"/>
      <c r="D30" s="7">
        <v>24000</v>
      </c>
      <c r="E30" s="5">
        <v>45928</v>
      </c>
      <c r="F30" s="6" t="s">
        <v>131</v>
      </c>
      <c r="G30" s="6"/>
      <c r="H30" s="15">
        <v>30000</v>
      </c>
    </row>
    <row r="31" spans="1:11" x14ac:dyDescent="0.3">
      <c r="A31" s="6"/>
      <c r="B31" s="6"/>
      <c r="C31" s="6"/>
      <c r="D31" s="7"/>
      <c r="E31" s="5">
        <v>45940</v>
      </c>
      <c r="F31" s="6" t="s">
        <v>132</v>
      </c>
      <c r="G31" s="6"/>
      <c r="H31" s="15">
        <v>150000</v>
      </c>
    </row>
    <row r="32" spans="1:11" x14ac:dyDescent="0.3">
      <c r="A32" s="5"/>
      <c r="B32" s="6"/>
      <c r="C32" s="6"/>
      <c r="D32" s="15"/>
      <c r="E32" s="5">
        <v>45952</v>
      </c>
      <c r="F32" s="6" t="s">
        <v>133</v>
      </c>
      <c r="G32" s="6"/>
      <c r="H32" s="15">
        <v>18000</v>
      </c>
    </row>
    <row r="33" spans="1:12" x14ac:dyDescent="0.3">
      <c r="A33" s="6"/>
      <c r="B33" s="6"/>
      <c r="C33" s="6"/>
      <c r="D33" s="7"/>
      <c r="E33" s="5">
        <v>46046</v>
      </c>
      <c r="F33" s="6" t="s">
        <v>178</v>
      </c>
      <c r="G33" s="6"/>
      <c r="H33" s="7">
        <v>150000</v>
      </c>
    </row>
    <row r="34" spans="1:12" x14ac:dyDescent="0.3">
      <c r="A34" s="6"/>
      <c r="B34" s="6"/>
      <c r="C34" s="6"/>
      <c r="D34" s="7"/>
      <c r="E34" s="5">
        <v>46085</v>
      </c>
      <c r="F34" s="6" t="s">
        <v>179</v>
      </c>
      <c r="G34" s="6"/>
      <c r="H34" s="7">
        <v>12500</v>
      </c>
    </row>
    <row r="35" spans="1:12" x14ac:dyDescent="0.3">
      <c r="A35" s="6"/>
      <c r="B35" s="6"/>
      <c r="C35" s="6"/>
      <c r="D35" s="7"/>
      <c r="E35" s="5">
        <v>46108</v>
      </c>
      <c r="F35" s="6" t="s">
        <v>177</v>
      </c>
      <c r="G35" s="6"/>
      <c r="H35" s="7">
        <v>72000</v>
      </c>
    </row>
    <row r="36" spans="1:12" x14ac:dyDescent="0.3">
      <c r="A36" s="6"/>
      <c r="B36" s="6"/>
      <c r="C36" s="6"/>
      <c r="D36" s="7"/>
      <c r="E36" s="5">
        <v>46112</v>
      </c>
      <c r="F36" s="6" t="s">
        <v>117</v>
      </c>
      <c r="G36" s="6"/>
      <c r="H36" s="7">
        <v>801000</v>
      </c>
    </row>
    <row r="37" spans="1:12" x14ac:dyDescent="0.3">
      <c r="A37" s="6"/>
      <c r="B37" s="6"/>
      <c r="C37" s="6"/>
      <c r="D37" s="7"/>
      <c r="E37" s="6"/>
      <c r="F37" s="6"/>
      <c r="G37" s="6"/>
      <c r="H37" s="7"/>
      <c r="J37" s="16"/>
      <c r="L37" s="16"/>
    </row>
    <row r="38" spans="1:12" x14ac:dyDescent="0.3">
      <c r="A38" s="6"/>
      <c r="B38" s="6"/>
      <c r="C38" s="6"/>
      <c r="D38" s="12">
        <f>SUM(D26:D30)</f>
        <v>1544000</v>
      </c>
      <c r="E38" s="14"/>
      <c r="F38" s="14"/>
      <c r="G38" s="14"/>
      <c r="H38" s="12">
        <f>SUM(H26:H36)</f>
        <v>1544000</v>
      </c>
    </row>
    <row r="39" spans="1:12" x14ac:dyDescent="0.3">
      <c r="A39" s="5">
        <v>46113</v>
      </c>
      <c r="B39" s="6" t="s">
        <v>124</v>
      </c>
      <c r="C39" s="6"/>
      <c r="D39" s="12">
        <v>801000</v>
      </c>
      <c r="E39" s="14"/>
      <c r="F39" s="14"/>
      <c r="G39" s="14"/>
      <c r="H39" s="12"/>
    </row>
    <row r="42" spans="1:12" ht="17.399999999999999" x14ac:dyDescent="0.3">
      <c r="A42" s="9" t="s">
        <v>110</v>
      </c>
      <c r="B42" s="9"/>
      <c r="C42" s="63" t="s">
        <v>44</v>
      </c>
      <c r="D42" s="63"/>
      <c r="E42" s="63"/>
      <c r="F42" s="63"/>
      <c r="G42" s="9"/>
      <c r="H42" s="10" t="s">
        <v>111</v>
      </c>
    </row>
    <row r="43" spans="1:12" ht="15.6" x14ac:dyDescent="0.3">
      <c r="A43" s="4" t="s">
        <v>0</v>
      </c>
      <c r="B43" s="4" t="s">
        <v>1</v>
      </c>
      <c r="C43" s="4" t="s">
        <v>108</v>
      </c>
      <c r="D43" s="11" t="s">
        <v>109</v>
      </c>
      <c r="E43" s="4" t="s">
        <v>0</v>
      </c>
      <c r="F43" s="4" t="s">
        <v>1</v>
      </c>
      <c r="G43" s="4" t="s">
        <v>108</v>
      </c>
      <c r="H43" s="11" t="s">
        <v>109</v>
      </c>
    </row>
    <row r="44" spans="1:12" x14ac:dyDescent="0.3">
      <c r="A44" s="5">
        <v>45751</v>
      </c>
      <c r="B44" s="6" t="s">
        <v>137</v>
      </c>
      <c r="C44" s="6"/>
      <c r="D44" s="15">
        <v>180000</v>
      </c>
      <c r="E44" s="5">
        <v>45857</v>
      </c>
      <c r="F44" s="6" t="s">
        <v>139</v>
      </c>
      <c r="G44" s="6"/>
      <c r="H44" s="15">
        <v>6000</v>
      </c>
    </row>
    <row r="45" spans="1:12" x14ac:dyDescent="0.3">
      <c r="A45" s="5">
        <v>45969</v>
      </c>
      <c r="B45" s="6" t="s">
        <v>138</v>
      </c>
      <c r="C45" s="6"/>
      <c r="D45" s="15">
        <v>220000</v>
      </c>
      <c r="E45" s="5">
        <v>46112</v>
      </c>
      <c r="F45" s="6" t="s">
        <v>117</v>
      </c>
      <c r="G45" s="6"/>
      <c r="H45" s="15">
        <v>394000</v>
      </c>
    </row>
    <row r="46" spans="1:12" x14ac:dyDescent="0.3">
      <c r="A46" s="5"/>
      <c r="B46" s="6"/>
      <c r="C46" s="6"/>
      <c r="D46" s="15"/>
      <c r="E46" s="5"/>
      <c r="F46" s="6"/>
      <c r="G46" s="6"/>
      <c r="H46" s="15"/>
    </row>
    <row r="47" spans="1:12" x14ac:dyDescent="0.3">
      <c r="A47" s="5"/>
      <c r="B47" s="6"/>
      <c r="C47" s="6"/>
      <c r="D47" s="12">
        <f>SUM(D44:D45)</f>
        <v>400000</v>
      </c>
      <c r="E47" s="13"/>
      <c r="F47" s="14"/>
      <c r="G47" s="14"/>
      <c r="H47" s="12">
        <f>SUM(H44:H46)</f>
        <v>400000</v>
      </c>
    </row>
    <row r="48" spans="1:12" x14ac:dyDescent="0.3">
      <c r="A48" s="5">
        <v>46113</v>
      </c>
      <c r="B48" s="6" t="s">
        <v>124</v>
      </c>
      <c r="C48" s="6"/>
      <c r="D48" s="12">
        <v>394000</v>
      </c>
      <c r="E48" s="13"/>
      <c r="F48" s="14"/>
      <c r="G48" s="14"/>
      <c r="H48" s="12"/>
    </row>
    <row r="49" spans="1:8" x14ac:dyDescent="0.3">
      <c r="D49"/>
      <c r="H49"/>
    </row>
    <row r="50" spans="1:8" x14ac:dyDescent="0.3">
      <c r="D50"/>
      <c r="H50"/>
    </row>
    <row r="51" spans="1:8" ht="17.399999999999999" x14ac:dyDescent="0.3">
      <c r="A51" s="9" t="s">
        <v>110</v>
      </c>
      <c r="B51" s="9"/>
      <c r="C51" s="63" t="s">
        <v>61</v>
      </c>
      <c r="D51" s="63"/>
      <c r="E51" s="63"/>
      <c r="F51" s="63"/>
      <c r="G51" s="9"/>
      <c r="H51" s="10" t="s">
        <v>111</v>
      </c>
    </row>
    <row r="52" spans="1:8" ht="15.6" x14ac:dyDescent="0.3">
      <c r="A52" s="4" t="s">
        <v>0</v>
      </c>
      <c r="B52" s="4" t="s">
        <v>1</v>
      </c>
      <c r="C52" s="4" t="s">
        <v>108</v>
      </c>
      <c r="D52" s="11" t="s">
        <v>109</v>
      </c>
      <c r="E52" s="4" t="s">
        <v>0</v>
      </c>
      <c r="F52" s="4" t="s">
        <v>1</v>
      </c>
      <c r="G52" s="4" t="s">
        <v>108</v>
      </c>
      <c r="H52" s="11" t="s">
        <v>109</v>
      </c>
    </row>
    <row r="53" spans="1:8" x14ac:dyDescent="0.3">
      <c r="A53" s="5">
        <v>45797</v>
      </c>
      <c r="B53" s="6" t="s">
        <v>141</v>
      </c>
      <c r="C53" s="6"/>
      <c r="D53" s="15">
        <v>8000</v>
      </c>
      <c r="E53" s="5">
        <v>45751</v>
      </c>
      <c r="F53" s="6" t="s">
        <v>140</v>
      </c>
      <c r="G53" s="6"/>
      <c r="H53" s="15">
        <v>180000</v>
      </c>
    </row>
    <row r="54" spans="1:8" x14ac:dyDescent="0.3">
      <c r="A54" s="5">
        <v>45813</v>
      </c>
      <c r="B54" s="6" t="s">
        <v>125</v>
      </c>
      <c r="C54" s="6"/>
      <c r="D54" s="15">
        <v>168000</v>
      </c>
      <c r="E54" s="5"/>
      <c r="F54" s="6"/>
      <c r="G54" s="6"/>
      <c r="H54" s="15"/>
    </row>
    <row r="55" spans="1:8" x14ac:dyDescent="0.3">
      <c r="A55" s="5">
        <v>45813</v>
      </c>
      <c r="B55" s="6" t="s">
        <v>142</v>
      </c>
      <c r="C55" s="6"/>
      <c r="D55" s="15">
        <v>4000</v>
      </c>
      <c r="E55" s="5"/>
      <c r="F55" s="6"/>
      <c r="G55" s="6"/>
      <c r="H55" s="15"/>
    </row>
    <row r="56" spans="1:8" x14ac:dyDescent="0.3">
      <c r="A56" s="5"/>
      <c r="B56" s="6"/>
      <c r="C56" s="6"/>
      <c r="D56" s="15"/>
      <c r="E56" s="5"/>
      <c r="F56" s="6"/>
      <c r="G56" s="6"/>
      <c r="H56" s="15"/>
    </row>
    <row r="57" spans="1:8" x14ac:dyDescent="0.3">
      <c r="A57" s="5"/>
      <c r="B57" s="6"/>
      <c r="C57" s="6"/>
      <c r="D57" s="12">
        <f>SUM(D53:D55)</f>
        <v>180000</v>
      </c>
      <c r="E57" s="5"/>
      <c r="F57" s="6"/>
      <c r="G57" s="6"/>
      <c r="H57" s="12">
        <f>SUM(H53:H55)</f>
        <v>180000</v>
      </c>
    </row>
    <row r="60" spans="1:8" ht="17.399999999999999" x14ac:dyDescent="0.3">
      <c r="A60" s="9" t="s">
        <v>110</v>
      </c>
      <c r="B60" s="9"/>
      <c r="C60" s="63" t="s">
        <v>47</v>
      </c>
      <c r="D60" s="63"/>
      <c r="E60" s="63"/>
      <c r="F60" s="63"/>
      <c r="G60" s="9"/>
      <c r="H60" s="10" t="s">
        <v>111</v>
      </c>
    </row>
    <row r="61" spans="1:8" ht="15.6" x14ac:dyDescent="0.3">
      <c r="A61" s="4" t="s">
        <v>0</v>
      </c>
      <c r="B61" s="4" t="s">
        <v>1</v>
      </c>
      <c r="C61" s="4" t="s">
        <v>108</v>
      </c>
      <c r="D61" s="11" t="s">
        <v>109</v>
      </c>
      <c r="E61" s="4" t="s">
        <v>0</v>
      </c>
      <c r="F61" s="4" t="s">
        <v>1</v>
      </c>
      <c r="G61" s="4" t="s">
        <v>108</v>
      </c>
      <c r="H61" s="11" t="s">
        <v>109</v>
      </c>
    </row>
    <row r="62" spans="1:8" x14ac:dyDescent="0.3">
      <c r="A62" s="5">
        <v>45755</v>
      </c>
      <c r="B62" s="6" t="s">
        <v>143</v>
      </c>
      <c r="C62" s="6"/>
      <c r="D62" s="15">
        <v>4500</v>
      </c>
      <c r="E62" s="5">
        <v>46112</v>
      </c>
      <c r="F62" s="6" t="s">
        <v>117</v>
      </c>
      <c r="G62" s="6"/>
      <c r="H62" s="15">
        <v>4500</v>
      </c>
    </row>
    <row r="63" spans="1:8" x14ac:dyDescent="0.3">
      <c r="A63" s="5"/>
      <c r="B63" s="6"/>
      <c r="C63" s="6"/>
      <c r="D63" s="15"/>
      <c r="E63" s="5"/>
      <c r="F63" s="6"/>
      <c r="G63" s="6"/>
      <c r="H63" s="15"/>
    </row>
    <row r="64" spans="1:8" x14ac:dyDescent="0.3">
      <c r="A64" s="5"/>
      <c r="B64" s="6"/>
      <c r="C64" s="6"/>
      <c r="D64" s="12">
        <v>4500</v>
      </c>
      <c r="E64" s="5"/>
      <c r="F64" s="6"/>
      <c r="G64" s="6"/>
      <c r="H64" s="12">
        <v>4500</v>
      </c>
    </row>
    <row r="65" spans="1:8" x14ac:dyDescent="0.3">
      <c r="A65" s="5">
        <v>46113</v>
      </c>
      <c r="B65" s="6" t="s">
        <v>124</v>
      </c>
      <c r="C65" s="6"/>
      <c r="D65" s="12">
        <v>4500</v>
      </c>
      <c r="E65" s="5"/>
      <c r="F65" s="6"/>
      <c r="G65" s="6"/>
      <c r="H65" s="15"/>
    </row>
    <row r="66" spans="1:8" x14ac:dyDescent="0.3">
      <c r="D66"/>
      <c r="H66"/>
    </row>
    <row r="67" spans="1:8" x14ac:dyDescent="0.3">
      <c r="D67"/>
      <c r="H67"/>
    </row>
    <row r="68" spans="1:8" ht="17.399999999999999" x14ac:dyDescent="0.3">
      <c r="A68" s="9" t="s">
        <v>110</v>
      </c>
      <c r="B68" s="9"/>
      <c r="C68" s="63" t="s">
        <v>50</v>
      </c>
      <c r="D68" s="63"/>
      <c r="E68" s="63"/>
      <c r="F68" s="63"/>
      <c r="G68" s="9"/>
      <c r="H68" s="10" t="s">
        <v>111</v>
      </c>
    </row>
    <row r="69" spans="1:8" ht="15.6" x14ac:dyDescent="0.3">
      <c r="A69" s="4" t="s">
        <v>0</v>
      </c>
      <c r="B69" s="4" t="s">
        <v>1</v>
      </c>
      <c r="C69" s="4" t="s">
        <v>108</v>
      </c>
      <c r="D69" s="11" t="s">
        <v>109</v>
      </c>
      <c r="E69" s="4" t="s">
        <v>0</v>
      </c>
      <c r="F69" s="4" t="s">
        <v>1</v>
      </c>
      <c r="G69" s="4" t="s">
        <v>108</v>
      </c>
      <c r="H69" s="11" t="s">
        <v>109</v>
      </c>
    </row>
    <row r="70" spans="1:8" x14ac:dyDescent="0.3">
      <c r="A70" s="5">
        <v>45762</v>
      </c>
      <c r="B70" s="6" t="s">
        <v>125</v>
      </c>
      <c r="C70" s="6"/>
      <c r="D70" s="15">
        <v>60000</v>
      </c>
      <c r="E70" s="5">
        <v>46112</v>
      </c>
      <c r="F70" s="6" t="s">
        <v>117</v>
      </c>
      <c r="G70" s="6"/>
      <c r="H70" s="15">
        <v>60000</v>
      </c>
    </row>
    <row r="71" spans="1:8" x14ac:dyDescent="0.3">
      <c r="A71" s="5"/>
      <c r="B71" s="6"/>
      <c r="C71" s="6"/>
      <c r="D71" s="15"/>
      <c r="E71" s="5"/>
      <c r="F71" s="6"/>
      <c r="G71" s="6"/>
      <c r="H71" s="15"/>
    </row>
    <row r="72" spans="1:8" x14ac:dyDescent="0.3">
      <c r="A72" s="5"/>
      <c r="B72" s="6"/>
      <c r="C72" s="6"/>
      <c r="D72" s="12">
        <v>60000</v>
      </c>
      <c r="E72" s="13"/>
      <c r="F72" s="14"/>
      <c r="G72" s="14"/>
      <c r="H72" s="12">
        <v>60000</v>
      </c>
    </row>
    <row r="73" spans="1:8" x14ac:dyDescent="0.3">
      <c r="A73" s="5">
        <v>46113</v>
      </c>
      <c r="B73" s="6" t="s">
        <v>124</v>
      </c>
      <c r="C73" s="6"/>
      <c r="D73" s="12">
        <v>60000</v>
      </c>
      <c r="E73" s="13"/>
      <c r="F73" s="14"/>
      <c r="G73" s="14"/>
      <c r="H73" s="12"/>
    </row>
    <row r="76" spans="1:8" ht="17.399999999999999" x14ac:dyDescent="0.3">
      <c r="A76" s="9" t="s">
        <v>110</v>
      </c>
      <c r="B76" s="9"/>
      <c r="C76" s="63" t="s">
        <v>144</v>
      </c>
      <c r="D76" s="63"/>
      <c r="E76" s="63"/>
      <c r="F76" s="63"/>
      <c r="G76" s="9"/>
      <c r="H76" s="10" t="s">
        <v>111</v>
      </c>
    </row>
    <row r="77" spans="1:8" ht="15.6" x14ac:dyDescent="0.3">
      <c r="A77" s="4" t="s">
        <v>0</v>
      </c>
      <c r="B77" s="4" t="s">
        <v>1</v>
      </c>
      <c r="C77" s="4" t="s">
        <v>108</v>
      </c>
      <c r="D77" s="11" t="s">
        <v>109</v>
      </c>
      <c r="E77" s="4" t="s">
        <v>0</v>
      </c>
      <c r="F77" s="4" t="s">
        <v>1</v>
      </c>
      <c r="G77" s="4" t="s">
        <v>108</v>
      </c>
      <c r="H77" s="11" t="s">
        <v>109</v>
      </c>
    </row>
    <row r="78" spans="1:8" x14ac:dyDescent="0.3">
      <c r="A78" s="5">
        <v>45769</v>
      </c>
      <c r="B78" s="6" t="s">
        <v>121</v>
      </c>
      <c r="C78" s="6"/>
      <c r="D78" s="15">
        <v>275000</v>
      </c>
      <c r="E78" s="5">
        <v>45789</v>
      </c>
      <c r="F78" s="6" t="s">
        <v>115</v>
      </c>
      <c r="G78" s="6"/>
      <c r="H78" s="15">
        <v>270000</v>
      </c>
    </row>
    <row r="79" spans="1:8" x14ac:dyDescent="0.3">
      <c r="A79" s="5"/>
      <c r="B79" s="6"/>
      <c r="C79" s="6"/>
      <c r="D79" s="15"/>
      <c r="E79" s="5">
        <v>45789</v>
      </c>
      <c r="F79" s="6" t="s">
        <v>145</v>
      </c>
      <c r="G79" s="6"/>
      <c r="H79" s="15">
        <v>5000</v>
      </c>
    </row>
    <row r="80" spans="1:8" x14ac:dyDescent="0.3">
      <c r="A80" s="5"/>
      <c r="B80" s="6"/>
      <c r="C80" s="6"/>
      <c r="D80" s="15"/>
      <c r="E80" s="5"/>
      <c r="F80" s="6"/>
      <c r="G80" s="6"/>
      <c r="H80" s="15"/>
    </row>
    <row r="81" spans="1:8" x14ac:dyDescent="0.3">
      <c r="A81" s="5"/>
      <c r="B81" s="6"/>
      <c r="C81" s="6"/>
      <c r="D81" s="12">
        <v>275000</v>
      </c>
      <c r="E81" s="5"/>
      <c r="F81" s="6"/>
      <c r="G81" s="6"/>
      <c r="H81" s="12">
        <v>275000</v>
      </c>
    </row>
    <row r="84" spans="1:8" ht="17.399999999999999" x14ac:dyDescent="0.3">
      <c r="A84" s="9" t="s">
        <v>110</v>
      </c>
      <c r="B84" s="9"/>
      <c r="C84" s="63" t="s">
        <v>146</v>
      </c>
      <c r="D84" s="63"/>
      <c r="E84" s="63"/>
      <c r="F84" s="63"/>
      <c r="G84" s="9"/>
      <c r="H84" s="10" t="s">
        <v>111</v>
      </c>
    </row>
    <row r="85" spans="1:8" ht="15.6" x14ac:dyDescent="0.3">
      <c r="A85" s="4" t="s">
        <v>0</v>
      </c>
      <c r="B85" s="4" t="s">
        <v>1</v>
      </c>
      <c r="C85" s="4" t="s">
        <v>108</v>
      </c>
      <c r="D85" s="11" t="s">
        <v>109</v>
      </c>
      <c r="E85" s="4" t="s">
        <v>0</v>
      </c>
      <c r="F85" s="4" t="s">
        <v>1</v>
      </c>
      <c r="G85" s="4" t="s">
        <v>108</v>
      </c>
      <c r="H85" s="11" t="s">
        <v>109</v>
      </c>
    </row>
    <row r="86" spans="1:8" x14ac:dyDescent="0.3">
      <c r="A86" s="5">
        <v>45780</v>
      </c>
      <c r="B86" s="6" t="s">
        <v>143</v>
      </c>
      <c r="C86" s="6"/>
      <c r="D86" s="15">
        <v>3500</v>
      </c>
      <c r="E86" s="5">
        <v>46112</v>
      </c>
      <c r="F86" s="6" t="s">
        <v>117</v>
      </c>
      <c r="G86" s="6"/>
      <c r="H86" s="15">
        <v>3500</v>
      </c>
    </row>
    <row r="87" spans="1:8" x14ac:dyDescent="0.3">
      <c r="A87" s="5"/>
      <c r="B87" s="6"/>
      <c r="C87" s="6"/>
      <c r="D87" s="15"/>
      <c r="E87" s="5"/>
      <c r="F87" s="6"/>
      <c r="G87" s="6"/>
      <c r="H87" s="15"/>
    </row>
    <row r="88" spans="1:8" x14ac:dyDescent="0.3">
      <c r="A88" s="5"/>
      <c r="B88" s="6"/>
      <c r="C88" s="6"/>
      <c r="D88" s="12">
        <v>3500</v>
      </c>
      <c r="E88" s="5"/>
      <c r="F88" s="6"/>
      <c r="G88" s="6"/>
      <c r="H88" s="12">
        <v>3500</v>
      </c>
    </row>
    <row r="89" spans="1:8" x14ac:dyDescent="0.3">
      <c r="A89" s="5">
        <v>46113</v>
      </c>
      <c r="B89" s="6" t="s">
        <v>124</v>
      </c>
      <c r="C89" s="6"/>
      <c r="D89" s="12">
        <v>3500</v>
      </c>
      <c r="E89" s="5"/>
      <c r="F89" s="6"/>
      <c r="G89" s="6"/>
      <c r="H89" s="15"/>
    </row>
    <row r="92" spans="1:8" ht="17.399999999999999" x14ac:dyDescent="0.3">
      <c r="A92" s="9" t="s">
        <v>110</v>
      </c>
      <c r="B92" s="9"/>
      <c r="C92" s="63" t="s">
        <v>147</v>
      </c>
      <c r="D92" s="63"/>
      <c r="E92" s="63"/>
      <c r="F92" s="63"/>
      <c r="G92" s="9"/>
      <c r="H92" s="10" t="s">
        <v>111</v>
      </c>
    </row>
    <row r="93" spans="1:8" ht="15.6" x14ac:dyDescent="0.3">
      <c r="A93" s="4" t="s">
        <v>0</v>
      </c>
      <c r="B93" s="4" t="s">
        <v>1</v>
      </c>
      <c r="C93" s="4" t="s">
        <v>108</v>
      </c>
      <c r="D93" s="11" t="s">
        <v>109</v>
      </c>
      <c r="E93" s="4" t="s">
        <v>0</v>
      </c>
      <c r="F93" s="4" t="s">
        <v>1</v>
      </c>
      <c r="G93" s="4" t="s">
        <v>108</v>
      </c>
      <c r="H93" s="11" t="s">
        <v>109</v>
      </c>
    </row>
    <row r="94" spans="1:8" x14ac:dyDescent="0.3">
      <c r="A94" s="5">
        <v>45789</v>
      </c>
      <c r="B94" s="6" t="s">
        <v>127</v>
      </c>
      <c r="C94" s="6"/>
      <c r="D94" s="15">
        <v>5000</v>
      </c>
      <c r="E94" s="5">
        <v>46112</v>
      </c>
      <c r="F94" s="6" t="s">
        <v>117</v>
      </c>
      <c r="G94" s="6"/>
      <c r="H94" s="15">
        <v>5000</v>
      </c>
    </row>
    <row r="95" spans="1:8" x14ac:dyDescent="0.3">
      <c r="A95" s="5"/>
      <c r="B95" s="6"/>
      <c r="C95" s="6"/>
      <c r="D95" s="15"/>
      <c r="E95" s="5"/>
      <c r="F95" s="6"/>
      <c r="G95" s="6"/>
      <c r="H95" s="15"/>
    </row>
    <row r="96" spans="1:8" x14ac:dyDescent="0.3">
      <c r="A96" s="5"/>
      <c r="B96" s="6"/>
      <c r="C96" s="6"/>
      <c r="D96" s="12">
        <v>5000</v>
      </c>
      <c r="E96" s="13"/>
      <c r="F96" s="14"/>
      <c r="G96" s="14"/>
      <c r="H96" s="12">
        <v>5000</v>
      </c>
    </row>
    <row r="97" spans="1:8" x14ac:dyDescent="0.3">
      <c r="A97" s="5">
        <v>46113</v>
      </c>
      <c r="B97" s="6" t="s">
        <v>124</v>
      </c>
      <c r="C97" s="6"/>
      <c r="D97" s="12">
        <v>5000</v>
      </c>
      <c r="E97" s="13"/>
      <c r="F97" s="14"/>
      <c r="G97" s="14"/>
      <c r="H97" s="12"/>
    </row>
    <row r="100" spans="1:8" ht="17.399999999999999" x14ac:dyDescent="0.3">
      <c r="A100" s="9" t="s">
        <v>110</v>
      </c>
      <c r="B100" s="9"/>
      <c r="C100" s="63" t="s">
        <v>148</v>
      </c>
      <c r="D100" s="63"/>
      <c r="E100" s="63"/>
      <c r="F100" s="63"/>
      <c r="G100" s="9"/>
      <c r="H100" s="10" t="s">
        <v>111</v>
      </c>
    </row>
    <row r="101" spans="1:8" ht="15.6" x14ac:dyDescent="0.3">
      <c r="A101" s="4" t="s">
        <v>0</v>
      </c>
      <c r="B101" s="4" t="s">
        <v>1</v>
      </c>
      <c r="C101" s="4" t="s">
        <v>108</v>
      </c>
      <c r="D101" s="11" t="s">
        <v>109</v>
      </c>
      <c r="E101" s="4" t="s">
        <v>0</v>
      </c>
      <c r="F101" s="4" t="s">
        <v>1</v>
      </c>
      <c r="G101" s="4" t="s">
        <v>108</v>
      </c>
      <c r="H101" s="11" t="s">
        <v>109</v>
      </c>
    </row>
    <row r="102" spans="1:8" x14ac:dyDescent="0.3">
      <c r="A102" s="5">
        <v>46112</v>
      </c>
      <c r="B102" s="6" t="s">
        <v>116</v>
      </c>
      <c r="C102" s="6"/>
      <c r="D102" s="15">
        <v>8000</v>
      </c>
      <c r="E102" s="5">
        <v>45797</v>
      </c>
      <c r="F102" s="6" t="s">
        <v>128</v>
      </c>
      <c r="G102" s="6"/>
      <c r="H102" s="15">
        <v>8000</v>
      </c>
    </row>
    <row r="103" spans="1:8" x14ac:dyDescent="0.3">
      <c r="A103" s="5"/>
      <c r="B103" s="6"/>
      <c r="C103" s="6"/>
      <c r="D103" s="15"/>
      <c r="E103" s="5"/>
      <c r="F103" s="6"/>
      <c r="G103" s="6"/>
      <c r="H103" s="15"/>
    </row>
    <row r="104" spans="1:8" x14ac:dyDescent="0.3">
      <c r="A104" s="5"/>
      <c r="B104" s="6"/>
      <c r="C104" s="6"/>
      <c r="D104" s="12">
        <v>8000</v>
      </c>
      <c r="E104" s="5"/>
      <c r="F104" s="6"/>
      <c r="G104" s="6"/>
      <c r="H104" s="12">
        <v>8000</v>
      </c>
    </row>
    <row r="105" spans="1:8" x14ac:dyDescent="0.3">
      <c r="A105" s="5"/>
      <c r="B105" s="6"/>
      <c r="C105" s="6"/>
      <c r="D105" s="15"/>
      <c r="E105" s="5">
        <v>46113</v>
      </c>
      <c r="F105" s="6" t="s">
        <v>149</v>
      </c>
      <c r="G105" s="6"/>
      <c r="H105" s="12">
        <v>8000</v>
      </c>
    </row>
    <row r="108" spans="1:8" ht="17.399999999999999" x14ac:dyDescent="0.3">
      <c r="A108" s="9" t="s">
        <v>110</v>
      </c>
      <c r="B108" s="9"/>
      <c r="C108" s="63" t="s">
        <v>150</v>
      </c>
      <c r="D108" s="63"/>
      <c r="E108" s="63"/>
      <c r="F108" s="63"/>
      <c r="G108" s="9"/>
      <c r="H108" s="10" t="s">
        <v>111</v>
      </c>
    </row>
    <row r="109" spans="1:8" ht="15.6" x14ac:dyDescent="0.3">
      <c r="A109" s="4" t="s">
        <v>0</v>
      </c>
      <c r="B109" s="4" t="s">
        <v>1</v>
      </c>
      <c r="C109" s="4" t="s">
        <v>108</v>
      </c>
      <c r="D109" s="11" t="s">
        <v>109</v>
      </c>
      <c r="E109" s="4" t="s">
        <v>0</v>
      </c>
      <c r="F109" s="4" t="s">
        <v>1</v>
      </c>
      <c r="G109" s="4" t="s">
        <v>108</v>
      </c>
      <c r="H109" s="11" t="s">
        <v>109</v>
      </c>
    </row>
    <row r="110" spans="1:8" x14ac:dyDescent="0.3">
      <c r="A110" s="5">
        <v>46112</v>
      </c>
      <c r="B110" s="6" t="s">
        <v>116</v>
      </c>
      <c r="C110" s="6"/>
      <c r="D110" s="15">
        <v>820000</v>
      </c>
      <c r="E110" s="5">
        <v>45769</v>
      </c>
      <c r="F110" s="6" t="s">
        <v>151</v>
      </c>
      <c r="G110" s="6"/>
      <c r="H110" s="15">
        <v>275000</v>
      </c>
    </row>
    <row r="111" spans="1:8" x14ac:dyDescent="0.3">
      <c r="A111" s="5"/>
      <c r="B111" s="6"/>
      <c r="C111" s="6"/>
      <c r="D111" s="15"/>
      <c r="E111" s="5">
        <v>45826</v>
      </c>
      <c r="F111" s="6" t="s">
        <v>114</v>
      </c>
      <c r="G111" s="6"/>
      <c r="H111" s="15">
        <v>95000</v>
      </c>
    </row>
    <row r="112" spans="1:8" x14ac:dyDescent="0.3">
      <c r="A112" s="5"/>
      <c r="B112" s="6"/>
      <c r="C112" s="6"/>
      <c r="D112" s="15"/>
      <c r="E112" s="5">
        <v>45894</v>
      </c>
      <c r="F112" s="6" t="s">
        <v>114</v>
      </c>
      <c r="G112" s="6"/>
      <c r="H112" s="15">
        <v>110000</v>
      </c>
    </row>
    <row r="113" spans="1:8" x14ac:dyDescent="0.3">
      <c r="A113" s="5"/>
      <c r="B113" s="6"/>
      <c r="C113" s="6"/>
      <c r="D113" s="15"/>
      <c r="E113" s="5">
        <v>45987</v>
      </c>
      <c r="F113" s="6" t="s">
        <v>152</v>
      </c>
      <c r="G113" s="6"/>
      <c r="H113" s="15">
        <v>340000</v>
      </c>
    </row>
    <row r="114" spans="1:8" x14ac:dyDescent="0.3">
      <c r="A114" s="6"/>
      <c r="B114" s="6"/>
      <c r="C114" s="6"/>
      <c r="D114" s="7"/>
      <c r="E114" s="6"/>
      <c r="F114" s="6"/>
      <c r="G114" s="6"/>
      <c r="H114" s="7"/>
    </row>
    <row r="115" spans="1:8" x14ac:dyDescent="0.3">
      <c r="A115" s="6"/>
      <c r="B115" s="6"/>
      <c r="C115" s="6"/>
      <c r="D115" s="12">
        <v>820000</v>
      </c>
      <c r="E115" s="6"/>
      <c r="F115" s="6"/>
      <c r="G115" s="6"/>
      <c r="H115" s="12">
        <f>SUM(H110:H113)</f>
        <v>820000</v>
      </c>
    </row>
    <row r="116" spans="1:8" x14ac:dyDescent="0.3">
      <c r="A116" s="6"/>
      <c r="B116" s="6"/>
      <c r="C116" s="6"/>
      <c r="D116" s="7"/>
      <c r="E116" s="5">
        <v>46113</v>
      </c>
      <c r="F116" s="6" t="s">
        <v>149</v>
      </c>
      <c r="G116" s="6"/>
      <c r="H116" s="12">
        <v>820000</v>
      </c>
    </row>
    <row r="119" spans="1:8" ht="17.399999999999999" x14ac:dyDescent="0.3">
      <c r="A119" s="9" t="s">
        <v>110</v>
      </c>
      <c r="B119" s="9"/>
      <c r="C119" s="63" t="s">
        <v>153</v>
      </c>
      <c r="D119" s="63"/>
      <c r="E119" s="63"/>
      <c r="F119" s="63"/>
      <c r="G119" s="9"/>
      <c r="H119" s="10" t="s">
        <v>111</v>
      </c>
    </row>
    <row r="120" spans="1:8" ht="15.6" x14ac:dyDescent="0.3">
      <c r="A120" s="4" t="s">
        <v>0</v>
      </c>
      <c r="B120" s="4" t="s">
        <v>1</v>
      </c>
      <c r="C120" s="4" t="s">
        <v>108</v>
      </c>
      <c r="D120" s="11" t="s">
        <v>109</v>
      </c>
      <c r="E120" s="4" t="s">
        <v>0</v>
      </c>
      <c r="F120" s="4" t="s">
        <v>1</v>
      </c>
      <c r="G120" s="4" t="s">
        <v>108</v>
      </c>
      <c r="H120" s="11" t="s">
        <v>109</v>
      </c>
    </row>
    <row r="121" spans="1:8" x14ac:dyDescent="0.3">
      <c r="A121" s="5">
        <v>46112</v>
      </c>
      <c r="B121" s="6" t="s">
        <v>116</v>
      </c>
      <c r="C121" s="6"/>
      <c r="D121" s="15">
        <v>4000</v>
      </c>
      <c r="E121" s="5">
        <v>45813</v>
      </c>
      <c r="F121" s="6" t="s">
        <v>128</v>
      </c>
      <c r="G121" s="6"/>
      <c r="H121" s="15">
        <v>4000</v>
      </c>
    </row>
    <row r="122" spans="1:8" x14ac:dyDescent="0.3">
      <c r="A122" s="5"/>
      <c r="B122" s="6"/>
      <c r="C122" s="6"/>
      <c r="D122" s="15"/>
      <c r="E122" s="5"/>
      <c r="F122" s="6"/>
      <c r="G122" s="6"/>
      <c r="H122" s="15"/>
    </row>
    <row r="123" spans="1:8" x14ac:dyDescent="0.3">
      <c r="A123" s="5"/>
      <c r="B123" s="6"/>
      <c r="C123" s="6"/>
      <c r="D123" s="12">
        <v>4000</v>
      </c>
      <c r="E123" s="5"/>
      <c r="F123" s="6"/>
      <c r="G123" s="6"/>
      <c r="H123" s="12">
        <v>4000</v>
      </c>
    </row>
    <row r="124" spans="1:8" x14ac:dyDescent="0.3">
      <c r="A124" s="5"/>
      <c r="B124" s="6"/>
      <c r="C124" s="6"/>
      <c r="D124" s="15"/>
      <c r="E124" s="5">
        <v>46113</v>
      </c>
      <c r="F124" s="6" t="s">
        <v>149</v>
      </c>
      <c r="G124" s="6"/>
      <c r="H124" s="12">
        <v>4000</v>
      </c>
    </row>
    <row r="127" spans="1:8" ht="17.399999999999999" x14ac:dyDescent="0.3">
      <c r="A127" s="9" t="s">
        <v>110</v>
      </c>
      <c r="B127" s="9"/>
      <c r="C127" s="63" t="s">
        <v>67</v>
      </c>
      <c r="D127" s="63"/>
      <c r="E127" s="63"/>
      <c r="F127" s="63"/>
      <c r="G127" s="9"/>
      <c r="H127" s="10" t="s">
        <v>111</v>
      </c>
    </row>
    <row r="128" spans="1:8" ht="15.6" x14ac:dyDescent="0.3">
      <c r="A128" s="4" t="s">
        <v>0</v>
      </c>
      <c r="B128" s="4" t="s">
        <v>1</v>
      </c>
      <c r="C128" s="4" t="s">
        <v>108</v>
      </c>
      <c r="D128" s="11" t="s">
        <v>109</v>
      </c>
      <c r="E128" s="4" t="s">
        <v>0</v>
      </c>
      <c r="F128" s="4" t="s">
        <v>1</v>
      </c>
      <c r="G128" s="4" t="s">
        <v>108</v>
      </c>
      <c r="H128" s="11" t="s">
        <v>109</v>
      </c>
    </row>
    <row r="129" spans="1:8" x14ac:dyDescent="0.3">
      <c r="A129" s="5">
        <v>45840</v>
      </c>
      <c r="B129" s="6" t="s">
        <v>125</v>
      </c>
      <c r="C129" s="6"/>
      <c r="D129" s="15">
        <v>75000</v>
      </c>
      <c r="E129" s="5">
        <v>46112</v>
      </c>
      <c r="F129" s="6" t="s">
        <v>117</v>
      </c>
      <c r="G129" s="6"/>
      <c r="H129" s="15">
        <v>75000</v>
      </c>
    </row>
    <row r="130" spans="1:8" x14ac:dyDescent="0.3">
      <c r="A130" s="5"/>
      <c r="B130" s="6"/>
      <c r="C130" s="6"/>
      <c r="D130" s="15"/>
      <c r="E130" s="5"/>
      <c r="F130" s="6"/>
      <c r="G130" s="6"/>
      <c r="H130" s="15"/>
    </row>
    <row r="131" spans="1:8" x14ac:dyDescent="0.3">
      <c r="A131" s="5"/>
      <c r="B131" s="6"/>
      <c r="C131" s="6"/>
      <c r="D131" s="12">
        <v>75000</v>
      </c>
      <c r="E131" s="5"/>
      <c r="F131" s="6"/>
      <c r="G131" s="6"/>
      <c r="H131" s="12">
        <v>75000</v>
      </c>
    </row>
    <row r="132" spans="1:8" x14ac:dyDescent="0.3">
      <c r="A132" s="5">
        <v>46113</v>
      </c>
      <c r="B132" s="6" t="s">
        <v>124</v>
      </c>
      <c r="C132" s="6"/>
      <c r="D132" s="12">
        <v>75000</v>
      </c>
      <c r="E132" s="5"/>
      <c r="F132" s="6"/>
      <c r="G132" s="6"/>
      <c r="H132" s="15"/>
    </row>
    <row r="133" spans="1:8" x14ac:dyDescent="0.3">
      <c r="D133" s="17"/>
    </row>
    <row r="135" spans="1:8" ht="17.399999999999999" x14ac:dyDescent="0.3">
      <c r="A135" s="9" t="s">
        <v>110</v>
      </c>
      <c r="B135" s="9"/>
      <c r="C135" s="63" t="s">
        <v>69</v>
      </c>
      <c r="D135" s="63"/>
      <c r="E135" s="63"/>
      <c r="F135" s="63"/>
      <c r="G135" s="9"/>
      <c r="H135" s="10" t="s">
        <v>111</v>
      </c>
    </row>
    <row r="136" spans="1:8" ht="15.6" x14ac:dyDescent="0.3">
      <c r="A136" s="4" t="s">
        <v>0</v>
      </c>
      <c r="B136" s="4" t="s">
        <v>1</v>
      </c>
      <c r="C136" s="4" t="s">
        <v>108</v>
      </c>
      <c r="D136" s="11" t="s">
        <v>109</v>
      </c>
      <c r="E136" s="4" t="s">
        <v>0</v>
      </c>
      <c r="F136" s="4" t="s">
        <v>1</v>
      </c>
      <c r="G136" s="4" t="s">
        <v>108</v>
      </c>
      <c r="H136" s="11" t="s">
        <v>109</v>
      </c>
    </row>
    <row r="137" spans="1:8" x14ac:dyDescent="0.3">
      <c r="A137" s="5">
        <v>45840</v>
      </c>
      <c r="B137" s="6" t="s">
        <v>154</v>
      </c>
      <c r="C137" s="6"/>
      <c r="D137" s="15">
        <v>6000</v>
      </c>
      <c r="E137" s="5">
        <v>46112</v>
      </c>
      <c r="F137" s="6" t="s">
        <v>117</v>
      </c>
      <c r="G137" s="6"/>
      <c r="H137" s="15">
        <v>6000</v>
      </c>
    </row>
    <row r="138" spans="1:8" x14ac:dyDescent="0.3">
      <c r="A138" s="5"/>
      <c r="B138" s="6"/>
      <c r="C138" s="6"/>
      <c r="D138" s="15"/>
      <c r="E138" s="5"/>
      <c r="F138" s="6"/>
      <c r="G138" s="6"/>
      <c r="H138" s="15"/>
    </row>
    <row r="139" spans="1:8" x14ac:dyDescent="0.3">
      <c r="A139" s="5"/>
      <c r="B139" s="6"/>
      <c r="C139" s="6"/>
      <c r="D139" s="12">
        <v>6000</v>
      </c>
      <c r="E139" s="5"/>
      <c r="F139" s="6"/>
      <c r="G139" s="6"/>
      <c r="H139" s="12">
        <v>6000</v>
      </c>
    </row>
    <row r="140" spans="1:8" x14ac:dyDescent="0.3">
      <c r="A140" s="5">
        <v>46113</v>
      </c>
      <c r="B140" s="6" t="s">
        <v>124</v>
      </c>
      <c r="C140" s="6"/>
      <c r="D140" s="12">
        <v>6000</v>
      </c>
      <c r="E140" s="5"/>
      <c r="F140" s="6"/>
      <c r="G140" s="6"/>
      <c r="H140" s="15"/>
    </row>
    <row r="143" spans="1:8" ht="17.399999999999999" x14ac:dyDescent="0.3">
      <c r="A143" s="9" t="s">
        <v>110</v>
      </c>
      <c r="B143" s="9"/>
      <c r="C143" s="63" t="s">
        <v>72</v>
      </c>
      <c r="D143" s="63"/>
      <c r="E143" s="63"/>
      <c r="F143" s="63"/>
      <c r="G143" s="9"/>
      <c r="H143" s="10" t="s">
        <v>111</v>
      </c>
    </row>
    <row r="144" spans="1:8" ht="15.6" x14ac:dyDescent="0.3">
      <c r="A144" s="4" t="s">
        <v>0</v>
      </c>
      <c r="B144" s="4" t="s">
        <v>1</v>
      </c>
      <c r="C144" s="4" t="s">
        <v>108</v>
      </c>
      <c r="D144" s="11" t="s">
        <v>109</v>
      </c>
      <c r="E144" s="4" t="s">
        <v>0</v>
      </c>
      <c r="F144" s="4" t="s">
        <v>1</v>
      </c>
      <c r="G144" s="4" t="s">
        <v>108</v>
      </c>
      <c r="H144" s="11" t="s">
        <v>109</v>
      </c>
    </row>
    <row r="145" spans="1:8" x14ac:dyDescent="0.3">
      <c r="A145" s="5">
        <v>45875</v>
      </c>
      <c r="B145" s="6" t="s">
        <v>125</v>
      </c>
      <c r="C145" s="6"/>
      <c r="D145" s="15">
        <v>7500</v>
      </c>
      <c r="E145" s="5">
        <v>46112</v>
      </c>
      <c r="F145" s="6" t="s">
        <v>117</v>
      </c>
      <c r="G145" s="6"/>
      <c r="H145" s="15">
        <v>7500</v>
      </c>
    </row>
    <row r="146" spans="1:8" x14ac:dyDescent="0.3">
      <c r="A146" s="5"/>
      <c r="B146" s="6"/>
      <c r="C146" s="6"/>
      <c r="D146" s="15"/>
      <c r="E146" s="5"/>
      <c r="F146" s="6"/>
      <c r="G146" s="6"/>
      <c r="H146" s="15"/>
    </row>
    <row r="147" spans="1:8" x14ac:dyDescent="0.3">
      <c r="A147" s="5"/>
      <c r="B147" s="6"/>
      <c r="C147" s="6"/>
      <c r="D147" s="12">
        <v>7500</v>
      </c>
      <c r="E147" s="5"/>
      <c r="F147" s="6"/>
      <c r="G147" s="6"/>
      <c r="H147" s="12">
        <v>7500</v>
      </c>
    </row>
    <row r="148" spans="1:8" x14ac:dyDescent="0.3">
      <c r="A148" s="5">
        <v>46113</v>
      </c>
      <c r="B148" s="6" t="s">
        <v>124</v>
      </c>
      <c r="C148" s="6"/>
      <c r="D148" s="12">
        <v>7500</v>
      </c>
      <c r="E148" s="5"/>
      <c r="F148" s="6"/>
      <c r="G148" s="6"/>
      <c r="H148" s="15"/>
    </row>
    <row r="151" spans="1:8" ht="17.399999999999999" x14ac:dyDescent="0.3">
      <c r="A151" s="9" t="s">
        <v>110</v>
      </c>
      <c r="B151" s="9"/>
      <c r="C151" s="63" t="s">
        <v>155</v>
      </c>
      <c r="D151" s="63"/>
      <c r="E151" s="63"/>
      <c r="F151" s="63"/>
      <c r="G151" s="9"/>
      <c r="H151" s="10" t="s">
        <v>111</v>
      </c>
    </row>
    <row r="152" spans="1:8" ht="15.6" x14ac:dyDescent="0.3">
      <c r="A152" s="4" t="s">
        <v>0</v>
      </c>
      <c r="B152" s="4" t="s">
        <v>1</v>
      </c>
      <c r="C152" s="4" t="s">
        <v>108</v>
      </c>
      <c r="D152" s="11" t="s">
        <v>109</v>
      </c>
      <c r="E152" s="4" t="s">
        <v>0</v>
      </c>
      <c r="F152" s="4" t="s">
        <v>1</v>
      </c>
      <c r="G152" s="4" t="s">
        <v>108</v>
      </c>
      <c r="H152" s="11" t="s">
        <v>109</v>
      </c>
    </row>
    <row r="153" spans="1:8" x14ac:dyDescent="0.3">
      <c r="A153" s="5">
        <v>46112</v>
      </c>
      <c r="B153" s="6" t="s">
        <v>116</v>
      </c>
      <c r="C153" s="6"/>
      <c r="D153" s="15">
        <v>15000</v>
      </c>
      <c r="E153" s="5">
        <v>45905</v>
      </c>
      <c r="F153" s="6" t="s">
        <v>114</v>
      </c>
      <c r="G153" s="6"/>
      <c r="H153" s="15">
        <v>15000</v>
      </c>
    </row>
    <row r="154" spans="1:8" x14ac:dyDescent="0.3">
      <c r="A154" s="5"/>
      <c r="B154" s="6"/>
      <c r="C154" s="6"/>
      <c r="D154" s="15"/>
      <c r="E154" s="5"/>
      <c r="F154" s="6"/>
      <c r="G154" s="6"/>
      <c r="H154" s="15"/>
    </row>
    <row r="155" spans="1:8" x14ac:dyDescent="0.3">
      <c r="A155" s="5"/>
      <c r="B155" s="6"/>
      <c r="C155" s="6"/>
      <c r="D155" s="12">
        <v>15000</v>
      </c>
      <c r="E155" s="5"/>
      <c r="F155" s="6"/>
      <c r="G155" s="6"/>
      <c r="H155" s="12">
        <v>15000</v>
      </c>
    </row>
    <row r="156" spans="1:8" x14ac:dyDescent="0.3">
      <c r="A156" s="5"/>
      <c r="B156" s="6"/>
      <c r="C156" s="6"/>
      <c r="D156" s="15"/>
      <c r="E156" s="5">
        <v>46113</v>
      </c>
      <c r="F156" s="6" t="s">
        <v>149</v>
      </c>
      <c r="G156" s="6"/>
      <c r="H156" s="12">
        <v>15000</v>
      </c>
    </row>
    <row r="159" spans="1:8" ht="17.399999999999999" x14ac:dyDescent="0.3">
      <c r="A159" s="9" t="s">
        <v>110</v>
      </c>
      <c r="B159" s="9"/>
      <c r="C159" s="63" t="s">
        <v>75</v>
      </c>
      <c r="D159" s="63"/>
      <c r="E159" s="63"/>
      <c r="F159" s="63"/>
      <c r="G159" s="9"/>
      <c r="H159" s="10" t="s">
        <v>111</v>
      </c>
    </row>
    <row r="160" spans="1:8" ht="15.6" x14ac:dyDescent="0.3">
      <c r="A160" s="4" t="s">
        <v>0</v>
      </c>
      <c r="B160" s="4" t="s">
        <v>1</v>
      </c>
      <c r="C160" s="4" t="s">
        <v>108</v>
      </c>
      <c r="D160" s="11" t="s">
        <v>109</v>
      </c>
      <c r="E160" s="4" t="s">
        <v>0</v>
      </c>
      <c r="F160" s="4" t="s">
        <v>1</v>
      </c>
      <c r="G160" s="4" t="s">
        <v>108</v>
      </c>
      <c r="H160" s="11" t="s">
        <v>109</v>
      </c>
    </row>
    <row r="161" spans="1:8" x14ac:dyDescent="0.3">
      <c r="A161" s="5">
        <v>45928</v>
      </c>
      <c r="B161" s="6" t="s">
        <v>125</v>
      </c>
      <c r="C161" s="6"/>
      <c r="D161" s="15">
        <v>30000</v>
      </c>
      <c r="E161" s="5">
        <v>46112</v>
      </c>
      <c r="F161" s="6" t="s">
        <v>117</v>
      </c>
      <c r="G161" s="6"/>
      <c r="H161" s="15">
        <v>30000</v>
      </c>
    </row>
    <row r="162" spans="1:8" x14ac:dyDescent="0.3">
      <c r="A162" s="5"/>
      <c r="B162" s="6"/>
      <c r="C162" s="6"/>
      <c r="D162" s="15"/>
      <c r="E162" s="5"/>
      <c r="F162" s="6"/>
      <c r="G162" s="6"/>
      <c r="H162" s="15"/>
    </row>
    <row r="163" spans="1:8" x14ac:dyDescent="0.3">
      <c r="A163" s="5"/>
      <c r="B163" s="6"/>
      <c r="C163" s="6"/>
      <c r="D163" s="12">
        <v>30000</v>
      </c>
      <c r="E163" s="5"/>
      <c r="F163" s="6"/>
      <c r="G163" s="6"/>
      <c r="H163" s="12">
        <v>30000</v>
      </c>
    </row>
    <row r="164" spans="1:8" x14ac:dyDescent="0.3">
      <c r="A164" s="5">
        <v>46113</v>
      </c>
      <c r="B164" s="6" t="s">
        <v>124</v>
      </c>
      <c r="C164" s="6"/>
      <c r="D164" s="12">
        <v>30000</v>
      </c>
      <c r="E164" s="5"/>
      <c r="F164" s="6"/>
      <c r="G164" s="6"/>
      <c r="H164" s="15"/>
    </row>
    <row r="165" spans="1:8" x14ac:dyDescent="0.3">
      <c r="D165" s="17"/>
      <c r="H165" s="17"/>
    </row>
    <row r="167" spans="1:8" ht="17.399999999999999" x14ac:dyDescent="0.3">
      <c r="A167" s="9" t="s">
        <v>110</v>
      </c>
      <c r="B167" s="9"/>
      <c r="C167" s="63" t="s">
        <v>156</v>
      </c>
      <c r="D167" s="63"/>
      <c r="E167" s="63"/>
      <c r="F167" s="63"/>
      <c r="G167" s="9"/>
      <c r="H167" s="10" t="s">
        <v>111</v>
      </c>
    </row>
    <row r="168" spans="1:8" ht="15.6" x14ac:dyDescent="0.3">
      <c r="A168" s="4" t="s">
        <v>0</v>
      </c>
      <c r="B168" s="4" t="s">
        <v>1</v>
      </c>
      <c r="C168" s="4" t="s">
        <v>108</v>
      </c>
      <c r="D168" s="11" t="s">
        <v>109</v>
      </c>
      <c r="E168" s="4" t="s">
        <v>0</v>
      </c>
      <c r="F168" s="4" t="s">
        <v>1</v>
      </c>
      <c r="G168" s="4" t="s">
        <v>108</v>
      </c>
      <c r="H168" s="11" t="s">
        <v>109</v>
      </c>
    </row>
    <row r="169" spans="1:8" x14ac:dyDescent="0.3">
      <c r="A169" s="5">
        <v>45940</v>
      </c>
      <c r="B169" s="6" t="s">
        <v>125</v>
      </c>
      <c r="C169" s="6"/>
      <c r="D169" s="15">
        <v>150000</v>
      </c>
      <c r="E169" s="5">
        <v>46112</v>
      </c>
      <c r="F169" s="6" t="s">
        <v>117</v>
      </c>
      <c r="G169" s="6"/>
      <c r="H169" s="15">
        <v>500000</v>
      </c>
    </row>
    <row r="170" spans="1:8" x14ac:dyDescent="0.3">
      <c r="A170" s="5">
        <v>45940</v>
      </c>
      <c r="B170" s="6" t="s">
        <v>157</v>
      </c>
      <c r="C170" s="6"/>
      <c r="D170" s="15">
        <v>350000</v>
      </c>
      <c r="E170" s="5"/>
      <c r="F170" s="6"/>
      <c r="G170" s="6"/>
      <c r="H170" s="15"/>
    </row>
    <row r="171" spans="1:8" x14ac:dyDescent="0.3">
      <c r="A171" s="5"/>
      <c r="B171" s="6"/>
      <c r="C171" s="6"/>
      <c r="D171" s="15"/>
      <c r="E171" s="5"/>
      <c r="F171" s="6"/>
      <c r="G171" s="6"/>
      <c r="H171" s="15"/>
    </row>
    <row r="172" spans="1:8" x14ac:dyDescent="0.3">
      <c r="A172" s="5"/>
      <c r="B172" s="6"/>
      <c r="C172" s="6"/>
      <c r="D172" s="12">
        <v>500000</v>
      </c>
      <c r="E172" s="5"/>
      <c r="F172" s="6"/>
      <c r="G172" s="6"/>
      <c r="H172" s="12">
        <v>500000</v>
      </c>
    </row>
    <row r="173" spans="1:8" x14ac:dyDescent="0.3">
      <c r="A173" s="5">
        <v>46113</v>
      </c>
      <c r="B173" s="6" t="s">
        <v>124</v>
      </c>
      <c r="C173" s="6"/>
      <c r="D173" s="12">
        <v>500000</v>
      </c>
      <c r="E173" s="6"/>
      <c r="F173" s="6"/>
      <c r="G173" s="6"/>
      <c r="H173" s="7"/>
    </row>
    <row r="174" spans="1:8" x14ac:dyDescent="0.3">
      <c r="B174" s="3"/>
      <c r="D174"/>
      <c r="F174" s="3"/>
      <c r="H174"/>
    </row>
    <row r="176" spans="1:8" ht="17.399999999999999" x14ac:dyDescent="0.3">
      <c r="A176" s="9" t="s">
        <v>110</v>
      </c>
      <c r="B176" s="9"/>
      <c r="C176" s="63" t="s">
        <v>158</v>
      </c>
      <c r="D176" s="63"/>
      <c r="E176" s="63"/>
      <c r="F176" s="63"/>
      <c r="G176" s="9"/>
      <c r="H176" s="10" t="s">
        <v>111</v>
      </c>
    </row>
    <row r="177" spans="1:8" ht="15.6" x14ac:dyDescent="0.3">
      <c r="A177" s="4" t="s">
        <v>0</v>
      </c>
      <c r="B177" s="4" t="s">
        <v>1</v>
      </c>
      <c r="C177" s="4" t="s">
        <v>108</v>
      </c>
      <c r="D177" s="11" t="s">
        <v>109</v>
      </c>
      <c r="E177" s="4" t="s">
        <v>0</v>
      </c>
      <c r="F177" s="4" t="s">
        <v>1</v>
      </c>
      <c r="G177" s="4" t="s">
        <v>108</v>
      </c>
      <c r="H177" s="11" t="s">
        <v>109</v>
      </c>
    </row>
    <row r="178" spans="1:8" x14ac:dyDescent="0.3">
      <c r="A178" s="5">
        <v>46112</v>
      </c>
      <c r="B178" s="6" t="s">
        <v>116</v>
      </c>
      <c r="C178" s="6"/>
      <c r="D178" s="15">
        <v>550000</v>
      </c>
      <c r="E178" s="5">
        <v>45940</v>
      </c>
      <c r="F178" s="6" t="s">
        <v>159</v>
      </c>
      <c r="G178" s="6"/>
      <c r="H178" s="15">
        <v>350000</v>
      </c>
    </row>
    <row r="179" spans="1:8" x14ac:dyDescent="0.3">
      <c r="A179" s="5"/>
      <c r="B179" s="6"/>
      <c r="C179" s="6"/>
      <c r="D179" s="15"/>
      <c r="E179" s="5">
        <v>46096</v>
      </c>
      <c r="F179" s="6" t="s">
        <v>115</v>
      </c>
      <c r="G179" s="6"/>
      <c r="H179" s="15">
        <v>200000</v>
      </c>
    </row>
    <row r="180" spans="1:8" x14ac:dyDescent="0.3">
      <c r="A180" s="5"/>
      <c r="B180" s="6"/>
      <c r="C180" s="6"/>
      <c r="D180" s="15"/>
      <c r="E180" s="5"/>
      <c r="F180" s="6"/>
      <c r="G180" s="6"/>
      <c r="H180" s="15"/>
    </row>
    <row r="181" spans="1:8" x14ac:dyDescent="0.3">
      <c r="A181" s="5"/>
      <c r="B181" s="6"/>
      <c r="C181" s="6"/>
      <c r="D181" s="12">
        <v>550000</v>
      </c>
      <c r="E181" s="5"/>
      <c r="F181" s="6"/>
      <c r="G181" s="6"/>
      <c r="H181" s="12">
        <v>550000</v>
      </c>
    </row>
    <row r="182" spans="1:8" x14ac:dyDescent="0.3">
      <c r="A182" s="5"/>
      <c r="B182" s="6"/>
      <c r="C182" s="6"/>
      <c r="D182" s="15"/>
      <c r="E182" s="5">
        <v>46113</v>
      </c>
      <c r="F182" s="6" t="s">
        <v>149</v>
      </c>
      <c r="G182" s="6"/>
      <c r="H182" s="12">
        <v>550000</v>
      </c>
    </row>
    <row r="185" spans="1:8" ht="17.399999999999999" x14ac:dyDescent="0.3">
      <c r="A185" s="9" t="s">
        <v>110</v>
      </c>
      <c r="B185" s="9"/>
      <c r="C185" s="63" t="s">
        <v>160</v>
      </c>
      <c r="D185" s="63"/>
      <c r="E185" s="63"/>
      <c r="F185" s="63"/>
      <c r="G185" s="9"/>
      <c r="H185" s="10" t="s">
        <v>111</v>
      </c>
    </row>
    <row r="186" spans="1:8" ht="15.6" x14ac:dyDescent="0.3">
      <c r="A186" s="4" t="s">
        <v>0</v>
      </c>
      <c r="B186" s="4" t="s">
        <v>1</v>
      </c>
      <c r="C186" s="4" t="s">
        <v>108</v>
      </c>
      <c r="D186" s="11" t="s">
        <v>109</v>
      </c>
      <c r="E186" s="4" t="s">
        <v>0</v>
      </c>
      <c r="F186" s="4" t="s">
        <v>1</v>
      </c>
      <c r="G186" s="4" t="s">
        <v>108</v>
      </c>
      <c r="H186" s="11" t="s">
        <v>109</v>
      </c>
    </row>
    <row r="187" spans="1:8" x14ac:dyDescent="0.3">
      <c r="A187" s="5">
        <v>45952</v>
      </c>
      <c r="B187" s="6" t="s">
        <v>125</v>
      </c>
      <c r="C187" s="6"/>
      <c r="D187" s="15">
        <v>18000</v>
      </c>
      <c r="E187" s="5">
        <v>46112</v>
      </c>
      <c r="F187" s="6" t="s">
        <v>117</v>
      </c>
      <c r="G187" s="6"/>
      <c r="H187" s="15">
        <v>18000</v>
      </c>
    </row>
    <row r="188" spans="1:8" x14ac:dyDescent="0.3">
      <c r="A188" s="5"/>
      <c r="B188" s="6"/>
      <c r="C188" s="6"/>
      <c r="D188" s="15"/>
      <c r="E188" s="5"/>
      <c r="F188" s="6"/>
      <c r="G188" s="6"/>
      <c r="H188" s="15"/>
    </row>
    <row r="189" spans="1:8" x14ac:dyDescent="0.3">
      <c r="A189" s="5"/>
      <c r="B189" s="6"/>
      <c r="C189" s="6"/>
      <c r="D189" s="12">
        <v>18000</v>
      </c>
      <c r="E189" s="5"/>
      <c r="F189" s="6"/>
      <c r="G189" s="6"/>
      <c r="H189" s="12">
        <v>18000</v>
      </c>
    </row>
    <row r="190" spans="1:8" x14ac:dyDescent="0.3">
      <c r="A190" s="5">
        <v>46113</v>
      </c>
      <c r="B190" s="6" t="s">
        <v>124</v>
      </c>
      <c r="C190" s="6"/>
      <c r="D190" s="12">
        <v>18000</v>
      </c>
      <c r="E190" s="5"/>
      <c r="F190" s="6"/>
      <c r="G190" s="6"/>
      <c r="H190" s="15"/>
    </row>
    <row r="191" spans="1:8" x14ac:dyDescent="0.3">
      <c r="D191"/>
      <c r="H191"/>
    </row>
    <row r="193" spans="1:8" ht="17.399999999999999" x14ac:dyDescent="0.3">
      <c r="A193" s="9" t="s">
        <v>110</v>
      </c>
      <c r="B193" s="9"/>
      <c r="C193" s="63" t="s">
        <v>161</v>
      </c>
      <c r="D193" s="63"/>
      <c r="E193" s="63"/>
      <c r="F193" s="63"/>
      <c r="G193" s="9"/>
      <c r="H193" s="10" t="s">
        <v>111</v>
      </c>
    </row>
    <row r="194" spans="1:8" ht="15.6" x14ac:dyDescent="0.3">
      <c r="A194" s="4" t="s">
        <v>0</v>
      </c>
      <c r="B194" s="4" t="s">
        <v>1</v>
      </c>
      <c r="C194" s="4" t="s">
        <v>108</v>
      </c>
      <c r="D194" s="11" t="s">
        <v>109</v>
      </c>
      <c r="E194" s="4" t="s">
        <v>0</v>
      </c>
      <c r="F194" s="4" t="s">
        <v>1</v>
      </c>
      <c r="G194" s="4" t="s">
        <v>108</v>
      </c>
      <c r="H194" s="11" t="s">
        <v>109</v>
      </c>
    </row>
    <row r="195" spans="1:8" x14ac:dyDescent="0.3">
      <c r="A195" s="5">
        <v>46046</v>
      </c>
      <c r="B195" s="6" t="s">
        <v>125</v>
      </c>
      <c r="C195" s="6"/>
      <c r="D195" s="15">
        <v>150000</v>
      </c>
      <c r="E195" s="5">
        <v>45969</v>
      </c>
      <c r="F195" s="6" t="s">
        <v>140</v>
      </c>
      <c r="G195" s="6"/>
      <c r="H195" s="15">
        <v>220000</v>
      </c>
    </row>
    <row r="196" spans="1:8" x14ac:dyDescent="0.3">
      <c r="A196" s="5">
        <v>46112</v>
      </c>
      <c r="B196" s="6" t="s">
        <v>116</v>
      </c>
      <c r="C196" s="6"/>
      <c r="D196" s="15">
        <v>70000</v>
      </c>
      <c r="E196" s="5"/>
      <c r="F196" s="6"/>
      <c r="G196" s="6"/>
      <c r="H196" s="15"/>
    </row>
    <row r="197" spans="1:8" x14ac:dyDescent="0.3">
      <c r="A197" s="5"/>
      <c r="B197" s="6"/>
      <c r="C197" s="6"/>
      <c r="D197" s="15"/>
      <c r="E197" s="5"/>
      <c r="F197" s="6"/>
      <c r="G197" s="6"/>
      <c r="H197" s="15"/>
    </row>
    <row r="198" spans="1:8" x14ac:dyDescent="0.3">
      <c r="A198" s="5"/>
      <c r="B198" s="6"/>
      <c r="C198" s="6"/>
      <c r="D198" s="12">
        <f>SUM(D195:D196)</f>
        <v>220000</v>
      </c>
      <c r="E198" s="5"/>
      <c r="F198" s="6"/>
      <c r="G198" s="6"/>
      <c r="H198" s="12">
        <v>220000</v>
      </c>
    </row>
    <row r="199" spans="1:8" x14ac:dyDescent="0.3">
      <c r="A199" s="6"/>
      <c r="B199" s="6"/>
      <c r="C199" s="6"/>
      <c r="D199" s="7"/>
      <c r="E199" s="5">
        <v>46113</v>
      </c>
      <c r="F199" s="6" t="s">
        <v>149</v>
      </c>
      <c r="G199" s="6"/>
      <c r="H199" s="12">
        <v>70000</v>
      </c>
    </row>
    <row r="202" spans="1:8" ht="17.399999999999999" x14ac:dyDescent="0.3">
      <c r="A202" s="9" t="s">
        <v>110</v>
      </c>
      <c r="B202" s="9"/>
      <c r="C202" s="63" t="s">
        <v>85</v>
      </c>
      <c r="D202" s="63"/>
      <c r="E202" s="63"/>
      <c r="F202" s="63"/>
      <c r="G202" s="9"/>
      <c r="H202" s="10" t="s">
        <v>111</v>
      </c>
    </row>
    <row r="203" spans="1:8" ht="15.6" x14ac:dyDescent="0.3">
      <c r="A203" s="4" t="s">
        <v>0</v>
      </c>
      <c r="B203" s="4" t="s">
        <v>1</v>
      </c>
      <c r="C203" s="4" t="s">
        <v>108</v>
      </c>
      <c r="D203" s="11" t="s">
        <v>109</v>
      </c>
      <c r="E203" s="4" t="s">
        <v>0</v>
      </c>
      <c r="F203" s="4" t="s">
        <v>1</v>
      </c>
      <c r="G203" s="4" t="s">
        <v>108</v>
      </c>
      <c r="H203" s="11" t="s">
        <v>109</v>
      </c>
    </row>
    <row r="204" spans="1:8" x14ac:dyDescent="0.3">
      <c r="A204" s="5">
        <v>45987</v>
      </c>
      <c r="B204" s="6" t="s">
        <v>121</v>
      </c>
      <c r="C204" s="6"/>
      <c r="D204" s="15">
        <v>340000</v>
      </c>
      <c r="E204" s="5">
        <v>46003</v>
      </c>
      <c r="F204" s="6" t="s">
        <v>162</v>
      </c>
      <c r="G204" s="6"/>
      <c r="H204" s="15">
        <v>20000</v>
      </c>
    </row>
    <row r="205" spans="1:8" x14ac:dyDescent="0.3">
      <c r="A205" s="5"/>
      <c r="B205" s="6"/>
      <c r="C205" s="6"/>
      <c r="D205" s="15"/>
      <c r="E205" s="5">
        <v>46031</v>
      </c>
      <c r="F205" s="6" t="s">
        <v>115</v>
      </c>
      <c r="G205" s="6"/>
      <c r="H205" s="15">
        <v>250000</v>
      </c>
    </row>
    <row r="206" spans="1:8" x14ac:dyDescent="0.3">
      <c r="A206" s="5"/>
      <c r="B206" s="6"/>
      <c r="C206" s="6"/>
      <c r="D206" s="15"/>
      <c r="E206" s="5">
        <v>46112</v>
      </c>
      <c r="F206" s="6" t="s">
        <v>117</v>
      </c>
      <c r="G206" s="6"/>
      <c r="H206" s="15">
        <v>70000</v>
      </c>
    </row>
    <row r="207" spans="1:8" x14ac:dyDescent="0.3">
      <c r="A207" s="5"/>
      <c r="B207" s="6"/>
      <c r="C207" s="6"/>
      <c r="D207" s="7"/>
      <c r="E207" s="5"/>
      <c r="F207" s="6"/>
      <c r="G207" s="6"/>
      <c r="H207" s="7"/>
    </row>
    <row r="208" spans="1:8" x14ac:dyDescent="0.3">
      <c r="A208" s="6"/>
      <c r="B208" s="6"/>
      <c r="C208" s="6"/>
      <c r="D208" s="12">
        <v>340000</v>
      </c>
      <c r="E208" s="5"/>
      <c r="F208" s="6"/>
      <c r="G208" s="6"/>
      <c r="H208" s="12">
        <v>340000</v>
      </c>
    </row>
    <row r="209" spans="1:8" x14ac:dyDescent="0.3">
      <c r="A209" s="5">
        <v>46113</v>
      </c>
      <c r="B209" s="6" t="s">
        <v>124</v>
      </c>
      <c r="C209" s="6"/>
      <c r="D209" s="12">
        <v>70000</v>
      </c>
      <c r="E209" s="6"/>
      <c r="F209" s="6"/>
      <c r="G209" s="6"/>
      <c r="H209" s="7"/>
    </row>
    <row r="212" spans="1:8" ht="17.399999999999999" x14ac:dyDescent="0.3">
      <c r="A212" s="9" t="s">
        <v>110</v>
      </c>
      <c r="B212" s="9"/>
      <c r="C212" s="63" t="s">
        <v>163</v>
      </c>
      <c r="D212" s="63"/>
      <c r="E212" s="63"/>
      <c r="F212" s="63"/>
      <c r="G212" s="9"/>
      <c r="H212" s="10" t="s">
        <v>111</v>
      </c>
    </row>
    <row r="213" spans="1:8" ht="15.6" x14ac:dyDescent="0.3">
      <c r="A213" s="4" t="s">
        <v>0</v>
      </c>
      <c r="B213" s="4" t="s">
        <v>1</v>
      </c>
      <c r="C213" s="4" t="s">
        <v>108</v>
      </c>
      <c r="D213" s="11" t="s">
        <v>109</v>
      </c>
      <c r="E213" s="4" t="s">
        <v>0</v>
      </c>
      <c r="F213" s="4" t="s">
        <v>1</v>
      </c>
      <c r="G213" s="4" t="s">
        <v>108</v>
      </c>
      <c r="H213" s="11" t="s">
        <v>109</v>
      </c>
    </row>
    <row r="214" spans="1:8" x14ac:dyDescent="0.3">
      <c r="A214" s="5">
        <v>46003</v>
      </c>
      <c r="B214" s="6" t="s">
        <v>134</v>
      </c>
      <c r="C214" s="6"/>
      <c r="D214" s="15">
        <v>20000</v>
      </c>
      <c r="E214" s="5">
        <v>46112</v>
      </c>
      <c r="F214" s="6" t="s">
        <v>117</v>
      </c>
      <c r="G214" s="6"/>
      <c r="H214" s="15">
        <v>20000</v>
      </c>
    </row>
    <row r="215" spans="1:8" x14ac:dyDescent="0.3">
      <c r="A215" s="5"/>
      <c r="B215" s="6"/>
      <c r="C215" s="6"/>
      <c r="D215" s="15"/>
      <c r="E215" s="5"/>
      <c r="F215" s="6"/>
      <c r="G215" s="6"/>
      <c r="H215" s="15"/>
    </row>
    <row r="216" spans="1:8" x14ac:dyDescent="0.3">
      <c r="A216" s="6"/>
      <c r="B216" s="6"/>
      <c r="C216" s="6"/>
      <c r="D216" s="12">
        <v>20000</v>
      </c>
      <c r="E216" s="5"/>
      <c r="F216" s="6"/>
      <c r="G216" s="6"/>
      <c r="H216" s="12">
        <v>20000</v>
      </c>
    </row>
    <row r="217" spans="1:8" x14ac:dyDescent="0.3">
      <c r="A217" s="5">
        <v>46113</v>
      </c>
      <c r="B217" s="6" t="s">
        <v>124</v>
      </c>
      <c r="C217" s="6"/>
      <c r="D217" s="12">
        <v>20000</v>
      </c>
      <c r="E217" s="5"/>
      <c r="F217" s="6"/>
      <c r="G217" s="6"/>
      <c r="H217" s="15"/>
    </row>
    <row r="218" spans="1:8" x14ac:dyDescent="0.3">
      <c r="D218"/>
      <c r="H218"/>
    </row>
    <row r="219" spans="1:8" x14ac:dyDescent="0.3">
      <c r="D219"/>
      <c r="H219"/>
    </row>
    <row r="220" spans="1:8" ht="17.399999999999999" x14ac:dyDescent="0.3">
      <c r="A220" s="9" t="s">
        <v>110</v>
      </c>
      <c r="B220" s="9"/>
      <c r="C220" s="63" t="s">
        <v>90</v>
      </c>
      <c r="D220" s="63"/>
      <c r="E220" s="63"/>
      <c r="F220" s="63"/>
      <c r="G220" s="9"/>
      <c r="H220" s="10" t="s">
        <v>111</v>
      </c>
    </row>
    <row r="221" spans="1:8" ht="15.6" x14ac:dyDescent="0.3">
      <c r="A221" s="4" t="s">
        <v>0</v>
      </c>
      <c r="B221" s="4" t="s">
        <v>1</v>
      </c>
      <c r="C221" s="4" t="s">
        <v>108</v>
      </c>
      <c r="D221" s="11" t="s">
        <v>109</v>
      </c>
      <c r="E221" s="4" t="s">
        <v>0</v>
      </c>
      <c r="F221" s="4" t="s">
        <v>1</v>
      </c>
      <c r="G221" s="4" t="s">
        <v>108</v>
      </c>
      <c r="H221" s="11" t="s">
        <v>109</v>
      </c>
    </row>
    <row r="222" spans="1:8" x14ac:dyDescent="0.3">
      <c r="A222" s="5">
        <v>46374</v>
      </c>
      <c r="B222" s="6" t="s">
        <v>143</v>
      </c>
      <c r="C222" s="6"/>
      <c r="D222" s="15">
        <v>25000</v>
      </c>
      <c r="E222" s="5">
        <v>46112</v>
      </c>
      <c r="F222" s="6" t="s">
        <v>117</v>
      </c>
      <c r="G222" s="6"/>
      <c r="H222" s="15">
        <v>25000</v>
      </c>
    </row>
    <row r="223" spans="1:8" x14ac:dyDescent="0.3">
      <c r="A223" s="5"/>
      <c r="B223" s="6"/>
      <c r="C223" s="6"/>
      <c r="D223" s="15"/>
      <c r="E223" s="5"/>
      <c r="F223" s="6"/>
      <c r="G223" s="6"/>
      <c r="H223" s="15"/>
    </row>
    <row r="224" spans="1:8" x14ac:dyDescent="0.3">
      <c r="A224" s="6"/>
      <c r="B224" s="6"/>
      <c r="C224" s="6"/>
      <c r="D224" s="12">
        <v>25000</v>
      </c>
      <c r="E224" s="5"/>
      <c r="F224" s="6"/>
      <c r="G224" s="6"/>
      <c r="H224" s="12">
        <v>25000</v>
      </c>
    </row>
    <row r="225" spans="1:8" x14ac:dyDescent="0.3">
      <c r="A225" s="5">
        <v>46113</v>
      </c>
      <c r="B225" s="6" t="s">
        <v>124</v>
      </c>
      <c r="C225" s="6"/>
      <c r="D225" s="12">
        <v>25000</v>
      </c>
      <c r="E225" s="5"/>
      <c r="F225" s="6"/>
      <c r="G225" s="6"/>
      <c r="H225" s="15"/>
    </row>
    <row r="228" spans="1:8" ht="17.399999999999999" x14ac:dyDescent="0.3">
      <c r="A228" s="9" t="s">
        <v>110</v>
      </c>
      <c r="B228" s="9"/>
      <c r="C228" s="63" t="s">
        <v>164</v>
      </c>
      <c r="D228" s="63"/>
      <c r="E228" s="63"/>
      <c r="F228" s="63"/>
      <c r="G228" s="9"/>
      <c r="H228" s="10" t="s">
        <v>111</v>
      </c>
    </row>
    <row r="229" spans="1:8" ht="15.6" x14ac:dyDescent="0.3">
      <c r="A229" s="4" t="s">
        <v>0</v>
      </c>
      <c r="B229" s="4" t="s">
        <v>1</v>
      </c>
      <c r="C229" s="4" t="s">
        <v>108</v>
      </c>
      <c r="D229" s="11" t="s">
        <v>109</v>
      </c>
      <c r="E229" s="4" t="s">
        <v>0</v>
      </c>
      <c r="F229" s="4" t="s">
        <v>1</v>
      </c>
      <c r="G229" s="4" t="s">
        <v>108</v>
      </c>
      <c r="H229" s="11" t="s">
        <v>109</v>
      </c>
    </row>
    <row r="230" spans="1:8" x14ac:dyDescent="0.3">
      <c r="A230" s="5">
        <v>46059</v>
      </c>
      <c r="B230" s="6" t="s">
        <v>143</v>
      </c>
      <c r="C230" s="6"/>
      <c r="D230" s="15">
        <v>28000</v>
      </c>
      <c r="E230" s="5">
        <v>46112</v>
      </c>
      <c r="F230" s="6" t="s">
        <v>117</v>
      </c>
      <c r="G230" s="6"/>
      <c r="H230" s="15">
        <v>28000</v>
      </c>
    </row>
    <row r="231" spans="1:8" x14ac:dyDescent="0.3">
      <c r="A231" s="5"/>
      <c r="B231" s="6"/>
      <c r="C231" s="6"/>
      <c r="D231" s="15"/>
      <c r="E231" s="5"/>
      <c r="F231" s="6"/>
      <c r="G231" s="6"/>
      <c r="H231" s="15"/>
    </row>
    <row r="232" spans="1:8" x14ac:dyDescent="0.3">
      <c r="A232" s="6"/>
      <c r="B232" s="6"/>
      <c r="C232" s="6"/>
      <c r="D232" s="12">
        <v>28000</v>
      </c>
      <c r="E232" s="5"/>
      <c r="F232" s="6"/>
      <c r="G232" s="6"/>
      <c r="H232" s="12">
        <v>28000</v>
      </c>
    </row>
    <row r="233" spans="1:8" x14ac:dyDescent="0.3">
      <c r="A233" s="5">
        <v>46113</v>
      </c>
      <c r="B233" s="6" t="s">
        <v>124</v>
      </c>
      <c r="C233" s="6"/>
      <c r="D233" s="12">
        <v>28000</v>
      </c>
      <c r="E233" s="5"/>
      <c r="F233" s="6"/>
      <c r="G233" s="6"/>
      <c r="H233" s="15"/>
    </row>
    <row r="236" spans="1:8" ht="17.399999999999999" x14ac:dyDescent="0.3">
      <c r="A236" s="9" t="s">
        <v>110</v>
      </c>
      <c r="B236" s="9"/>
      <c r="C236" s="63" t="s">
        <v>167</v>
      </c>
      <c r="D236" s="63"/>
      <c r="E236" s="63"/>
      <c r="F236" s="63"/>
      <c r="G236" s="9"/>
      <c r="H236" s="10" t="s">
        <v>111</v>
      </c>
    </row>
    <row r="237" spans="1:8" ht="15.6" x14ac:dyDescent="0.3">
      <c r="A237" s="4" t="s">
        <v>0</v>
      </c>
      <c r="B237" s="4" t="s">
        <v>1</v>
      </c>
      <c r="C237" s="4" t="s">
        <v>108</v>
      </c>
      <c r="D237" s="11" t="s">
        <v>109</v>
      </c>
      <c r="E237" s="4" t="s">
        <v>0</v>
      </c>
      <c r="F237" s="4" t="s">
        <v>1</v>
      </c>
      <c r="G237" s="4" t="s">
        <v>108</v>
      </c>
      <c r="H237" s="11" t="s">
        <v>109</v>
      </c>
    </row>
    <row r="238" spans="1:8" x14ac:dyDescent="0.3">
      <c r="A238" s="5">
        <v>46070</v>
      </c>
      <c r="B238" s="6" t="s">
        <v>165</v>
      </c>
      <c r="C238" s="6"/>
      <c r="D238" s="15">
        <v>70000</v>
      </c>
      <c r="E238" s="5">
        <v>46112</v>
      </c>
      <c r="F238" s="6" t="s">
        <v>117</v>
      </c>
      <c r="G238" s="6"/>
      <c r="H238" s="15">
        <v>70000</v>
      </c>
    </row>
    <row r="239" spans="1:8" x14ac:dyDescent="0.3">
      <c r="A239" s="5"/>
      <c r="B239" s="6"/>
      <c r="C239" s="6"/>
      <c r="D239" s="15"/>
      <c r="E239" s="5"/>
      <c r="F239" s="6"/>
      <c r="G239" s="6"/>
      <c r="H239" s="15"/>
    </row>
    <row r="240" spans="1:8" x14ac:dyDescent="0.3">
      <c r="A240" s="6"/>
      <c r="B240" s="6"/>
      <c r="C240" s="6"/>
      <c r="D240" s="12">
        <v>70000</v>
      </c>
      <c r="E240" s="5"/>
      <c r="F240" s="6"/>
      <c r="G240" s="6"/>
      <c r="H240" s="12">
        <v>70000</v>
      </c>
    </row>
    <row r="241" spans="1:8" x14ac:dyDescent="0.3">
      <c r="A241" s="5">
        <v>46113</v>
      </c>
      <c r="B241" s="6" t="s">
        <v>124</v>
      </c>
      <c r="C241" s="6"/>
      <c r="D241" s="12">
        <v>70000</v>
      </c>
      <c r="E241" s="5"/>
      <c r="F241" s="6"/>
      <c r="G241" s="6"/>
      <c r="H241" s="15"/>
    </row>
    <row r="244" spans="1:8" ht="17.399999999999999" x14ac:dyDescent="0.3">
      <c r="A244" s="9" t="s">
        <v>110</v>
      </c>
      <c r="B244" s="9"/>
      <c r="C244" s="63" t="s">
        <v>166</v>
      </c>
      <c r="D244" s="63"/>
      <c r="E244" s="63"/>
      <c r="F244" s="63"/>
      <c r="G244" s="9"/>
      <c r="H244" s="10" t="s">
        <v>111</v>
      </c>
    </row>
    <row r="245" spans="1:8" ht="15.6" x14ac:dyDescent="0.3">
      <c r="A245" s="4" t="s">
        <v>0</v>
      </c>
      <c r="B245" s="4" t="s">
        <v>1</v>
      </c>
      <c r="C245" s="4" t="s">
        <v>108</v>
      </c>
      <c r="D245" s="11" t="s">
        <v>109</v>
      </c>
      <c r="E245" s="4" t="s">
        <v>0</v>
      </c>
      <c r="F245" s="4" t="s">
        <v>1</v>
      </c>
      <c r="G245" s="4" t="s">
        <v>108</v>
      </c>
      <c r="H245" s="11" t="s">
        <v>109</v>
      </c>
    </row>
    <row r="246" spans="1:8" x14ac:dyDescent="0.3">
      <c r="A246" s="5">
        <v>46112</v>
      </c>
      <c r="B246" s="6" t="s">
        <v>116</v>
      </c>
      <c r="C246" s="6"/>
      <c r="D246" s="15">
        <v>70000</v>
      </c>
      <c r="E246" s="5">
        <v>46070</v>
      </c>
      <c r="F246" s="6" t="s">
        <v>168</v>
      </c>
      <c r="G246" s="6"/>
      <c r="H246" s="15">
        <v>70000</v>
      </c>
    </row>
    <row r="247" spans="1:8" x14ac:dyDescent="0.3">
      <c r="A247" s="5"/>
      <c r="B247" s="6"/>
      <c r="C247" s="6"/>
      <c r="D247" s="15"/>
      <c r="E247" s="5"/>
      <c r="F247" s="6"/>
      <c r="G247" s="6"/>
      <c r="H247" s="15"/>
    </row>
    <row r="248" spans="1:8" x14ac:dyDescent="0.3">
      <c r="A248" s="5"/>
      <c r="B248" s="6"/>
      <c r="C248" s="6"/>
      <c r="D248" s="12">
        <v>70000</v>
      </c>
      <c r="E248" s="5"/>
      <c r="F248" s="6"/>
      <c r="G248" s="6"/>
      <c r="H248" s="12">
        <v>70000</v>
      </c>
    </row>
    <row r="249" spans="1:8" x14ac:dyDescent="0.3">
      <c r="A249" s="5"/>
      <c r="B249" s="6"/>
      <c r="C249" s="6"/>
      <c r="D249" s="15"/>
      <c r="E249" s="5">
        <v>46113</v>
      </c>
      <c r="F249" s="6" t="s">
        <v>149</v>
      </c>
      <c r="G249" s="6"/>
      <c r="H249" s="12">
        <v>70000</v>
      </c>
    </row>
    <row r="252" spans="1:8" ht="17.399999999999999" x14ac:dyDescent="0.3">
      <c r="A252" s="9" t="s">
        <v>110</v>
      </c>
      <c r="B252" s="9"/>
      <c r="C252" s="63" t="s">
        <v>100</v>
      </c>
      <c r="D252" s="63"/>
      <c r="E252" s="63"/>
      <c r="F252" s="63"/>
      <c r="G252" s="9"/>
      <c r="H252" s="10" t="s">
        <v>111</v>
      </c>
    </row>
    <row r="253" spans="1:8" ht="15.6" x14ac:dyDescent="0.3">
      <c r="A253" s="4" t="s">
        <v>0</v>
      </c>
      <c r="B253" s="4" t="s">
        <v>1</v>
      </c>
      <c r="C253" s="4" t="s">
        <v>108</v>
      </c>
      <c r="D253" s="11" t="s">
        <v>109</v>
      </c>
      <c r="E253" s="4" t="s">
        <v>0</v>
      </c>
      <c r="F253" s="4" t="s">
        <v>1</v>
      </c>
      <c r="G253" s="4" t="s">
        <v>108</v>
      </c>
      <c r="H253" s="11" t="s">
        <v>109</v>
      </c>
    </row>
    <row r="254" spans="1:8" x14ac:dyDescent="0.3">
      <c r="A254" s="5">
        <v>46085</v>
      </c>
      <c r="B254" s="6" t="s">
        <v>125</v>
      </c>
      <c r="C254" s="6"/>
      <c r="D254" s="15">
        <v>12500</v>
      </c>
      <c r="E254" s="5">
        <v>46112</v>
      </c>
      <c r="F254" s="6" t="s">
        <v>117</v>
      </c>
      <c r="G254" s="6"/>
      <c r="H254" s="15">
        <v>12500</v>
      </c>
    </row>
    <row r="255" spans="1:8" x14ac:dyDescent="0.3">
      <c r="A255" s="5"/>
      <c r="B255" s="6"/>
      <c r="C255" s="6"/>
      <c r="D255" s="15"/>
      <c r="E255" s="5"/>
      <c r="F255" s="6"/>
      <c r="G255" s="6"/>
      <c r="H255" s="15"/>
    </row>
    <row r="256" spans="1:8" x14ac:dyDescent="0.3">
      <c r="A256" s="6"/>
      <c r="B256" s="6"/>
      <c r="C256" s="6"/>
      <c r="D256" s="12">
        <v>12500</v>
      </c>
      <c r="E256" s="5"/>
      <c r="F256" s="6"/>
      <c r="G256" s="6"/>
      <c r="H256" s="12">
        <v>12500</v>
      </c>
    </row>
    <row r="257" spans="1:8" x14ac:dyDescent="0.3">
      <c r="A257" s="5">
        <v>46113</v>
      </c>
      <c r="B257" s="6" t="s">
        <v>124</v>
      </c>
      <c r="C257" s="6"/>
      <c r="D257" s="12">
        <v>12500</v>
      </c>
      <c r="E257" s="5"/>
      <c r="F257" s="6"/>
      <c r="G257" s="6"/>
      <c r="H257" s="15"/>
    </row>
    <row r="260" spans="1:8" ht="17.399999999999999" x14ac:dyDescent="0.3">
      <c r="A260" s="9" t="s">
        <v>110</v>
      </c>
      <c r="B260" s="9"/>
      <c r="C260" s="63" t="s">
        <v>103</v>
      </c>
      <c r="D260" s="63"/>
      <c r="E260" s="63"/>
      <c r="F260" s="63"/>
      <c r="G260" s="9"/>
      <c r="H260" s="10" t="s">
        <v>111</v>
      </c>
    </row>
    <row r="261" spans="1:8" ht="15.6" x14ac:dyDescent="0.3">
      <c r="A261" s="4" t="s">
        <v>0</v>
      </c>
      <c r="B261" s="4" t="s">
        <v>1</v>
      </c>
      <c r="C261" s="4" t="s">
        <v>108</v>
      </c>
      <c r="D261" s="11" t="s">
        <v>109</v>
      </c>
      <c r="E261" s="4" t="s">
        <v>0</v>
      </c>
      <c r="F261" s="4" t="s">
        <v>1</v>
      </c>
      <c r="G261" s="4" t="s">
        <v>108</v>
      </c>
      <c r="H261" s="11" t="s">
        <v>109</v>
      </c>
    </row>
    <row r="262" spans="1:8" x14ac:dyDescent="0.3">
      <c r="A262" s="5">
        <v>46108</v>
      </c>
      <c r="B262" s="6" t="s">
        <v>125</v>
      </c>
      <c r="C262" s="6"/>
      <c r="D262" s="15">
        <v>72000</v>
      </c>
      <c r="E262" s="5">
        <v>46112</v>
      </c>
      <c r="F262" s="6" t="s">
        <v>117</v>
      </c>
      <c r="G262" s="6"/>
      <c r="H262" s="15">
        <v>72000</v>
      </c>
    </row>
    <row r="263" spans="1:8" x14ac:dyDescent="0.3">
      <c r="A263" s="5"/>
      <c r="B263" s="6"/>
      <c r="C263" s="6"/>
      <c r="D263" s="15"/>
      <c r="E263" s="5"/>
      <c r="F263" s="6"/>
      <c r="G263" s="6"/>
      <c r="H263" s="15"/>
    </row>
    <row r="264" spans="1:8" x14ac:dyDescent="0.3">
      <c r="A264" s="6"/>
      <c r="B264" s="6"/>
      <c r="C264" s="6"/>
      <c r="D264" s="12">
        <v>72000</v>
      </c>
      <c r="E264" s="5"/>
      <c r="F264" s="6"/>
      <c r="G264" s="6"/>
      <c r="H264" s="12">
        <v>72000</v>
      </c>
    </row>
    <row r="265" spans="1:8" x14ac:dyDescent="0.3">
      <c r="A265" s="5">
        <v>46113</v>
      </c>
      <c r="B265" s="6" t="s">
        <v>124</v>
      </c>
      <c r="C265" s="6"/>
      <c r="D265" s="12">
        <v>72000</v>
      </c>
      <c r="E265" s="5"/>
      <c r="F265" s="6"/>
      <c r="G265" s="6"/>
      <c r="H265" s="15"/>
    </row>
    <row r="268" spans="1:8" ht="17.399999999999999" x14ac:dyDescent="0.3">
      <c r="A268" s="9" t="s">
        <v>110</v>
      </c>
      <c r="B268" s="9"/>
      <c r="C268" s="63" t="s">
        <v>169</v>
      </c>
      <c r="D268" s="63"/>
      <c r="E268" s="63"/>
      <c r="F268" s="63"/>
      <c r="G268" s="9"/>
      <c r="H268" s="10" t="s">
        <v>111</v>
      </c>
    </row>
    <row r="269" spans="1:8" ht="15.6" x14ac:dyDescent="0.3">
      <c r="A269" s="4" t="s">
        <v>0</v>
      </c>
      <c r="B269" s="4" t="s">
        <v>1</v>
      </c>
      <c r="C269" s="4" t="s">
        <v>108</v>
      </c>
      <c r="D269" s="11" t="s">
        <v>109</v>
      </c>
      <c r="E269" s="4" t="s">
        <v>0</v>
      </c>
      <c r="F269" s="4" t="s">
        <v>1</v>
      </c>
      <c r="G269" s="4" t="s">
        <v>108</v>
      </c>
      <c r="H269" s="11" t="s">
        <v>109</v>
      </c>
    </row>
    <row r="270" spans="1:8" x14ac:dyDescent="0.3">
      <c r="A270" s="5">
        <v>46112</v>
      </c>
      <c r="B270" s="6" t="s">
        <v>116</v>
      </c>
      <c r="C270" s="6"/>
      <c r="D270" s="15">
        <v>24000</v>
      </c>
      <c r="E270" s="5">
        <v>46112</v>
      </c>
      <c r="F270" s="6" t="s">
        <v>115</v>
      </c>
      <c r="G270" s="6"/>
      <c r="H270" s="15">
        <v>24000</v>
      </c>
    </row>
    <row r="271" spans="1:8" x14ac:dyDescent="0.3">
      <c r="A271" s="5"/>
      <c r="B271" s="6"/>
      <c r="C271" s="6"/>
      <c r="D271" s="15"/>
      <c r="E271" s="5"/>
      <c r="F271" s="6"/>
      <c r="G271" s="6"/>
      <c r="H271" s="15"/>
    </row>
    <row r="272" spans="1:8" x14ac:dyDescent="0.3">
      <c r="A272" s="5"/>
      <c r="B272" s="6"/>
      <c r="C272" s="6"/>
      <c r="D272" s="12">
        <v>24000</v>
      </c>
      <c r="E272" s="5"/>
      <c r="F272" s="6"/>
      <c r="G272" s="6"/>
      <c r="H272" s="12">
        <v>24000</v>
      </c>
    </row>
    <row r="273" spans="1:8" x14ac:dyDescent="0.3">
      <c r="A273" s="5"/>
      <c r="B273" s="6"/>
      <c r="C273" s="6"/>
      <c r="D273" s="15"/>
      <c r="E273" s="5">
        <v>46113</v>
      </c>
      <c r="F273" s="6" t="s">
        <v>149</v>
      </c>
      <c r="G273" s="6"/>
      <c r="H273" s="12">
        <v>24000</v>
      </c>
    </row>
  </sheetData>
  <mergeCells count="32">
    <mergeCell ref="C100:F100"/>
    <mergeCell ref="C3:F3"/>
    <mergeCell ref="A1:H1"/>
    <mergeCell ref="C12:F12"/>
    <mergeCell ref="C24:F24"/>
    <mergeCell ref="C42:F42"/>
    <mergeCell ref="C51:F51"/>
    <mergeCell ref="C60:F60"/>
    <mergeCell ref="C68:F68"/>
    <mergeCell ref="C76:F76"/>
    <mergeCell ref="C84:F84"/>
    <mergeCell ref="C92:F92"/>
    <mergeCell ref="C202:F202"/>
    <mergeCell ref="C108:F108"/>
    <mergeCell ref="C119:F119"/>
    <mergeCell ref="C127:F127"/>
    <mergeCell ref="C135:F135"/>
    <mergeCell ref="C143:F143"/>
    <mergeCell ref="C151:F151"/>
    <mergeCell ref="C159:F159"/>
    <mergeCell ref="C167:F167"/>
    <mergeCell ref="C176:F176"/>
    <mergeCell ref="C185:F185"/>
    <mergeCell ref="C193:F193"/>
    <mergeCell ref="C260:F260"/>
    <mergeCell ref="C268:F268"/>
    <mergeCell ref="C212:F212"/>
    <mergeCell ref="C220:F220"/>
    <mergeCell ref="C228:F228"/>
    <mergeCell ref="C236:F236"/>
    <mergeCell ref="C244:F244"/>
    <mergeCell ref="C252:F2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C08-B6B6-44E8-89F0-459DB1DF0C0F}">
  <dimension ref="A1:D35"/>
  <sheetViews>
    <sheetView zoomScaleNormal="70" workbookViewId="0">
      <selection activeCell="D30" sqref="D30"/>
    </sheetView>
  </sheetViews>
  <sheetFormatPr defaultRowHeight="14.4" x14ac:dyDescent="0.3"/>
  <cols>
    <col min="1" max="1" width="6.6640625" customWidth="1"/>
    <col min="2" max="2" width="31.109375" customWidth="1"/>
    <col min="3" max="4" width="15.6640625" style="3" customWidth="1"/>
  </cols>
  <sheetData>
    <row r="1" spans="1:4" ht="52.2" customHeight="1" x14ac:dyDescent="0.3">
      <c r="A1" s="62" t="s">
        <v>171</v>
      </c>
      <c r="B1" s="62"/>
      <c r="C1" s="62"/>
      <c r="D1" s="62"/>
    </row>
    <row r="3" spans="1:4" ht="15.6" x14ac:dyDescent="0.3">
      <c r="A3" s="4" t="s">
        <v>170</v>
      </c>
      <c r="B3" s="4" t="s">
        <v>1</v>
      </c>
      <c r="C3" s="11" t="s">
        <v>3</v>
      </c>
      <c r="D3" s="11" t="s">
        <v>4</v>
      </c>
    </row>
    <row r="4" spans="1:4" x14ac:dyDescent="0.3">
      <c r="A4" s="6">
        <v>1</v>
      </c>
      <c r="B4" s="6" t="s">
        <v>39</v>
      </c>
      <c r="C4" s="7">
        <v>559000</v>
      </c>
      <c r="D4" s="7"/>
    </row>
    <row r="5" spans="1:4" x14ac:dyDescent="0.3">
      <c r="A5" s="6">
        <v>2</v>
      </c>
      <c r="B5" s="6" t="s">
        <v>41</v>
      </c>
      <c r="C5" s="7">
        <v>801000</v>
      </c>
      <c r="D5" s="7"/>
    </row>
    <row r="6" spans="1:4" x14ac:dyDescent="0.3">
      <c r="A6" s="6">
        <v>3</v>
      </c>
      <c r="B6" s="6" t="s">
        <v>44</v>
      </c>
      <c r="C6" s="7">
        <v>394000</v>
      </c>
      <c r="D6" s="7"/>
    </row>
    <row r="7" spans="1:4" x14ac:dyDescent="0.3">
      <c r="A7" s="6">
        <v>4</v>
      </c>
      <c r="B7" s="6" t="s">
        <v>61</v>
      </c>
      <c r="C7" s="7" t="s">
        <v>172</v>
      </c>
      <c r="D7" s="7" t="s">
        <v>172</v>
      </c>
    </row>
    <row r="8" spans="1:4" x14ac:dyDescent="0.3">
      <c r="A8" s="6">
        <v>5</v>
      </c>
      <c r="B8" s="6" t="s">
        <v>47</v>
      </c>
      <c r="C8" s="7">
        <v>4500</v>
      </c>
      <c r="D8" s="7"/>
    </row>
    <row r="9" spans="1:4" x14ac:dyDescent="0.3">
      <c r="A9" s="6">
        <v>6</v>
      </c>
      <c r="B9" s="6" t="s">
        <v>50</v>
      </c>
      <c r="C9" s="7">
        <v>60000</v>
      </c>
      <c r="D9" s="7"/>
    </row>
    <row r="10" spans="1:4" x14ac:dyDescent="0.3">
      <c r="A10" s="6">
        <v>7</v>
      </c>
      <c r="B10" s="6" t="s">
        <v>144</v>
      </c>
      <c r="C10" s="7" t="s">
        <v>172</v>
      </c>
      <c r="D10" s="7" t="s">
        <v>172</v>
      </c>
    </row>
    <row r="11" spans="1:4" x14ac:dyDescent="0.3">
      <c r="A11" s="6">
        <v>8</v>
      </c>
      <c r="B11" s="6" t="s">
        <v>146</v>
      </c>
      <c r="C11" s="7">
        <v>3500</v>
      </c>
      <c r="D11" s="7"/>
    </row>
    <row r="12" spans="1:4" x14ac:dyDescent="0.3">
      <c r="A12" s="6">
        <v>9</v>
      </c>
      <c r="B12" s="6" t="s">
        <v>147</v>
      </c>
      <c r="C12" s="7">
        <v>5000</v>
      </c>
      <c r="D12" s="7"/>
    </row>
    <row r="13" spans="1:4" x14ac:dyDescent="0.3">
      <c r="A13" s="6">
        <v>10</v>
      </c>
      <c r="B13" s="6" t="s">
        <v>67</v>
      </c>
      <c r="C13" s="7">
        <v>75000</v>
      </c>
      <c r="D13" s="7"/>
    </row>
    <row r="14" spans="1:4" x14ac:dyDescent="0.3">
      <c r="A14" s="6">
        <v>11</v>
      </c>
      <c r="B14" s="6" t="s">
        <v>69</v>
      </c>
      <c r="C14" s="7">
        <v>6000</v>
      </c>
      <c r="D14" s="7"/>
    </row>
    <row r="15" spans="1:4" x14ac:dyDescent="0.3">
      <c r="A15" s="6">
        <v>12</v>
      </c>
      <c r="B15" s="6" t="s">
        <v>173</v>
      </c>
      <c r="C15" s="7">
        <v>7500</v>
      </c>
      <c r="D15" s="7"/>
    </row>
    <row r="16" spans="1:4" x14ac:dyDescent="0.3">
      <c r="A16" s="6">
        <v>13</v>
      </c>
      <c r="B16" s="6" t="s">
        <v>75</v>
      </c>
      <c r="C16" s="7">
        <v>30000</v>
      </c>
      <c r="D16" s="7"/>
    </row>
    <row r="17" spans="1:4" x14ac:dyDescent="0.3">
      <c r="A17" s="6">
        <v>14</v>
      </c>
      <c r="B17" s="6" t="s">
        <v>156</v>
      </c>
      <c r="C17" s="7">
        <v>500000</v>
      </c>
      <c r="D17" s="7"/>
    </row>
    <row r="18" spans="1:4" x14ac:dyDescent="0.3">
      <c r="A18" s="6">
        <v>15</v>
      </c>
      <c r="B18" s="6" t="s">
        <v>160</v>
      </c>
      <c r="C18" s="7">
        <v>18000</v>
      </c>
      <c r="D18" s="7"/>
    </row>
    <row r="19" spans="1:4" x14ac:dyDescent="0.3">
      <c r="A19" s="6">
        <v>16</v>
      </c>
      <c r="B19" s="6" t="s">
        <v>85</v>
      </c>
      <c r="C19" s="7">
        <v>70000</v>
      </c>
      <c r="D19" s="7"/>
    </row>
    <row r="20" spans="1:4" x14ac:dyDescent="0.3">
      <c r="A20" s="6">
        <v>17</v>
      </c>
      <c r="B20" s="6" t="s">
        <v>163</v>
      </c>
      <c r="C20" s="7">
        <v>20000</v>
      </c>
      <c r="D20" s="7"/>
    </row>
    <row r="21" spans="1:4" x14ac:dyDescent="0.3">
      <c r="A21" s="6">
        <v>18</v>
      </c>
      <c r="B21" s="6" t="s">
        <v>90</v>
      </c>
      <c r="C21" s="7">
        <v>25000</v>
      </c>
      <c r="D21" s="7"/>
    </row>
    <row r="22" spans="1:4" x14ac:dyDescent="0.3">
      <c r="A22" s="6">
        <v>19</v>
      </c>
      <c r="B22" s="6" t="s">
        <v>164</v>
      </c>
      <c r="C22" s="7">
        <v>28000</v>
      </c>
      <c r="D22" s="7"/>
    </row>
    <row r="23" spans="1:4" x14ac:dyDescent="0.3">
      <c r="A23" s="6">
        <v>20</v>
      </c>
      <c r="B23" s="6" t="s">
        <v>167</v>
      </c>
      <c r="C23" s="7">
        <v>70000</v>
      </c>
      <c r="D23" s="7"/>
    </row>
    <row r="24" spans="1:4" x14ac:dyDescent="0.3">
      <c r="A24" s="6">
        <v>21</v>
      </c>
      <c r="B24" s="6" t="s">
        <v>100</v>
      </c>
      <c r="C24" s="7">
        <v>12500</v>
      </c>
      <c r="D24" s="7"/>
    </row>
    <row r="25" spans="1:4" x14ac:dyDescent="0.3">
      <c r="A25" s="6">
        <v>22</v>
      </c>
      <c r="B25" s="6" t="s">
        <v>103</v>
      </c>
      <c r="C25" s="7">
        <v>72000</v>
      </c>
      <c r="D25" s="7"/>
    </row>
    <row r="26" spans="1:4" x14ac:dyDescent="0.3">
      <c r="A26" s="6">
        <v>23</v>
      </c>
      <c r="B26" s="6" t="s">
        <v>112</v>
      </c>
      <c r="C26" s="7"/>
      <c r="D26" s="7">
        <v>1200000</v>
      </c>
    </row>
    <row r="27" spans="1:4" x14ac:dyDescent="0.3">
      <c r="A27" s="6">
        <v>24</v>
      </c>
      <c r="B27" s="6" t="s">
        <v>148</v>
      </c>
      <c r="C27" s="7"/>
      <c r="D27" s="7">
        <v>8000</v>
      </c>
    </row>
    <row r="28" spans="1:4" x14ac:dyDescent="0.3">
      <c r="A28" s="6">
        <v>25</v>
      </c>
      <c r="B28" s="6" t="s">
        <v>174</v>
      </c>
      <c r="C28" s="7"/>
      <c r="D28" s="7">
        <v>820000</v>
      </c>
    </row>
    <row r="29" spans="1:4" x14ac:dyDescent="0.3">
      <c r="A29" s="6">
        <v>26</v>
      </c>
      <c r="B29" s="6" t="s">
        <v>153</v>
      </c>
      <c r="C29" s="7"/>
      <c r="D29" s="7">
        <v>4000</v>
      </c>
    </row>
    <row r="30" spans="1:4" x14ac:dyDescent="0.3">
      <c r="A30" s="6">
        <v>27</v>
      </c>
      <c r="B30" s="6" t="s">
        <v>155</v>
      </c>
      <c r="C30" s="7"/>
      <c r="D30" s="7">
        <v>15000</v>
      </c>
    </row>
    <row r="31" spans="1:4" x14ac:dyDescent="0.3">
      <c r="A31" s="6">
        <v>28</v>
      </c>
      <c r="B31" s="6" t="s">
        <v>158</v>
      </c>
      <c r="C31" s="7"/>
      <c r="D31" s="7">
        <v>550000</v>
      </c>
    </row>
    <row r="32" spans="1:4" x14ac:dyDescent="0.3">
      <c r="A32" s="6">
        <v>29</v>
      </c>
      <c r="B32" s="6" t="s">
        <v>161</v>
      </c>
      <c r="C32" s="7"/>
      <c r="D32" s="7">
        <v>70000</v>
      </c>
    </row>
    <row r="33" spans="1:4" x14ac:dyDescent="0.3">
      <c r="A33" s="6">
        <v>30</v>
      </c>
      <c r="B33" s="6" t="s">
        <v>166</v>
      </c>
      <c r="C33" s="7"/>
      <c r="D33" s="7">
        <v>70000</v>
      </c>
    </row>
    <row r="34" spans="1:4" x14ac:dyDescent="0.3">
      <c r="A34" s="6">
        <v>31</v>
      </c>
      <c r="B34" s="6" t="s">
        <v>175</v>
      </c>
      <c r="C34" s="7"/>
      <c r="D34" s="7">
        <v>24000</v>
      </c>
    </row>
    <row r="35" spans="1:4" x14ac:dyDescent="0.3">
      <c r="A35" s="6"/>
      <c r="B35" s="6"/>
      <c r="C35" s="7">
        <f>SUM(C4:C6,C8:C9,C11:C25)</f>
        <v>2761000</v>
      </c>
      <c r="D35" s="7">
        <f>SUM(D26:D34)</f>
        <v>2761000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90B3-FE21-484B-B567-78DDE09BA2E9}">
  <dimension ref="A1:I12"/>
  <sheetViews>
    <sheetView workbookViewId="0">
      <selection activeCell="E21" sqref="E21"/>
    </sheetView>
  </sheetViews>
  <sheetFormatPr defaultRowHeight="14.4" x14ac:dyDescent="0.3"/>
  <cols>
    <col min="1" max="1" width="26" customWidth="1"/>
    <col min="2" max="3" width="17.33203125" style="3" customWidth="1"/>
    <col min="4" max="4" width="26" customWidth="1"/>
    <col min="5" max="6" width="17.33203125" style="3" customWidth="1"/>
    <col min="8" max="8" width="9.77734375" bestFit="1" customWidth="1"/>
  </cols>
  <sheetData>
    <row r="1" spans="1:9" ht="17.399999999999999" x14ac:dyDescent="0.3">
      <c r="A1" s="62" t="s">
        <v>180</v>
      </c>
      <c r="B1" s="62"/>
      <c r="C1" s="62"/>
      <c r="D1" s="62"/>
      <c r="E1" s="62"/>
      <c r="F1" s="62"/>
    </row>
    <row r="3" spans="1:9" ht="15.6" x14ac:dyDescent="0.3">
      <c r="A3" s="9" t="s">
        <v>110</v>
      </c>
      <c r="B3" s="18"/>
      <c r="C3" s="18"/>
      <c r="D3" s="9"/>
      <c r="E3" s="18"/>
      <c r="F3" s="10" t="s">
        <v>111</v>
      </c>
    </row>
    <row r="4" spans="1:9" ht="15.6" x14ac:dyDescent="0.3">
      <c r="A4" s="4" t="s">
        <v>181</v>
      </c>
      <c r="B4" s="11" t="s">
        <v>182</v>
      </c>
      <c r="C4" s="11" t="s">
        <v>182</v>
      </c>
      <c r="D4" s="4" t="s">
        <v>181</v>
      </c>
      <c r="E4" s="11" t="s">
        <v>182</v>
      </c>
      <c r="F4" s="11" t="s">
        <v>182</v>
      </c>
    </row>
    <row r="5" spans="1:9" x14ac:dyDescent="0.3">
      <c r="A5" s="8" t="s">
        <v>183</v>
      </c>
      <c r="B5" s="21" t="s">
        <v>172</v>
      </c>
      <c r="C5" s="29" t="s">
        <v>172</v>
      </c>
      <c r="D5" s="32" t="s">
        <v>189</v>
      </c>
      <c r="E5" s="21">
        <v>820000</v>
      </c>
      <c r="F5" s="29"/>
    </row>
    <row r="6" spans="1:9" ht="15" thickBot="1" x14ac:dyDescent="0.35">
      <c r="A6" s="8" t="s">
        <v>184</v>
      </c>
      <c r="B6" s="21">
        <v>394000</v>
      </c>
      <c r="C6" s="30"/>
      <c r="D6" s="8" t="s">
        <v>190</v>
      </c>
      <c r="E6" s="20">
        <v>20000</v>
      </c>
      <c r="F6" s="30">
        <f>E5-E6</f>
        <v>800000</v>
      </c>
      <c r="H6" s="16"/>
    </row>
    <row r="7" spans="1:9" ht="15" thickBot="1" x14ac:dyDescent="0.35">
      <c r="A7" s="8" t="s">
        <v>185</v>
      </c>
      <c r="B7" s="20">
        <v>8000</v>
      </c>
      <c r="C7" s="30">
        <f>B6-B7</f>
        <v>386000</v>
      </c>
      <c r="D7" s="8" t="s">
        <v>191</v>
      </c>
      <c r="E7" s="21"/>
      <c r="F7" s="30">
        <v>210000</v>
      </c>
    </row>
    <row r="8" spans="1:9" x14ac:dyDescent="0.3">
      <c r="A8" s="8" t="s">
        <v>186</v>
      </c>
      <c r="B8" s="21"/>
      <c r="C8" s="30"/>
      <c r="D8" s="8"/>
      <c r="E8" s="21"/>
      <c r="F8" s="30"/>
      <c r="H8" s="16"/>
      <c r="I8" s="16"/>
    </row>
    <row r="9" spans="1:9" x14ac:dyDescent="0.3">
      <c r="A9" s="8" t="s">
        <v>187</v>
      </c>
      <c r="B9" s="21">
        <v>3500</v>
      </c>
      <c r="C9" s="30"/>
      <c r="D9" s="8"/>
      <c r="E9" s="21"/>
      <c r="F9" s="30"/>
    </row>
    <row r="10" spans="1:9" ht="15" thickBot="1" x14ac:dyDescent="0.35">
      <c r="A10" s="8" t="s">
        <v>188</v>
      </c>
      <c r="B10" s="20">
        <v>28000</v>
      </c>
      <c r="C10" s="30">
        <f>B9+B10</f>
        <v>31500</v>
      </c>
      <c r="D10" s="8"/>
      <c r="E10" s="21"/>
      <c r="F10" s="30"/>
    </row>
    <row r="11" spans="1:9" x14ac:dyDescent="0.3">
      <c r="A11" s="8" t="s">
        <v>192</v>
      </c>
      <c r="B11" s="21"/>
      <c r="C11" s="33">
        <v>592500</v>
      </c>
      <c r="D11" s="8"/>
      <c r="E11" s="21"/>
      <c r="F11" s="30"/>
    </row>
    <row r="12" spans="1:9" x14ac:dyDescent="0.3">
      <c r="A12" s="6"/>
      <c r="B12" s="36"/>
      <c r="C12" s="12">
        <v>1010000</v>
      </c>
      <c r="D12" s="6"/>
      <c r="E12" s="34"/>
      <c r="F12" s="12">
        <v>1010000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831F-F21A-46EB-809F-8A44C51A3509}">
  <dimension ref="A1:F15"/>
  <sheetViews>
    <sheetView workbookViewId="0">
      <selection activeCell="I18" sqref="I18"/>
    </sheetView>
  </sheetViews>
  <sheetFormatPr defaultRowHeight="14.4" x14ac:dyDescent="0.3"/>
  <cols>
    <col min="1" max="1" width="28.6640625" bestFit="1" customWidth="1"/>
    <col min="2" max="3" width="17.5546875" style="3" customWidth="1"/>
    <col min="4" max="4" width="24.109375" customWidth="1"/>
    <col min="5" max="6" width="17.5546875" style="3" customWidth="1"/>
  </cols>
  <sheetData>
    <row r="1" spans="1:6" ht="35.4" customHeight="1" x14ac:dyDescent="0.3">
      <c r="A1" s="62" t="s">
        <v>193</v>
      </c>
      <c r="B1" s="62"/>
      <c r="C1" s="62"/>
      <c r="D1" s="62"/>
      <c r="E1" s="62"/>
      <c r="F1" s="62"/>
    </row>
    <row r="3" spans="1:6" ht="15.6" x14ac:dyDescent="0.3">
      <c r="A3" s="9" t="s">
        <v>110</v>
      </c>
      <c r="B3" s="18"/>
      <c r="C3" s="18"/>
      <c r="D3" s="9"/>
      <c r="E3" s="18"/>
      <c r="F3" s="10" t="s">
        <v>111</v>
      </c>
    </row>
    <row r="4" spans="1:6" ht="15.6" x14ac:dyDescent="0.3">
      <c r="A4" s="26" t="s">
        <v>1</v>
      </c>
      <c r="B4" s="11" t="s">
        <v>109</v>
      </c>
      <c r="C4" s="27" t="s">
        <v>109</v>
      </c>
      <c r="D4" s="4" t="s">
        <v>1</v>
      </c>
      <c r="E4" s="27" t="s">
        <v>109</v>
      </c>
      <c r="F4" s="11" t="s">
        <v>109</v>
      </c>
    </row>
    <row r="5" spans="1:6" x14ac:dyDescent="0.3">
      <c r="A5" s="23" t="s">
        <v>194</v>
      </c>
      <c r="B5" s="30"/>
      <c r="C5" s="21">
        <v>4500</v>
      </c>
      <c r="D5" s="8" t="s">
        <v>201</v>
      </c>
      <c r="E5" s="21"/>
      <c r="F5" s="30">
        <v>592500</v>
      </c>
    </row>
    <row r="6" spans="1:6" x14ac:dyDescent="0.3">
      <c r="A6" s="23" t="s">
        <v>195</v>
      </c>
      <c r="B6" s="30"/>
      <c r="C6" s="21">
        <v>5000</v>
      </c>
      <c r="D6" s="8" t="s">
        <v>203</v>
      </c>
      <c r="E6" s="21"/>
      <c r="F6" s="30">
        <v>4000</v>
      </c>
    </row>
    <row r="7" spans="1:6" x14ac:dyDescent="0.3">
      <c r="A7" s="23" t="s">
        <v>196</v>
      </c>
      <c r="B7" s="30"/>
      <c r="C7" s="21">
        <v>7500</v>
      </c>
      <c r="D7" s="8" t="s">
        <v>202</v>
      </c>
      <c r="E7" s="21"/>
      <c r="F7" s="30">
        <v>15000</v>
      </c>
    </row>
    <row r="8" spans="1:6" x14ac:dyDescent="0.3">
      <c r="A8" s="23" t="s">
        <v>197</v>
      </c>
      <c r="B8" s="30"/>
      <c r="C8" s="21">
        <v>30000</v>
      </c>
      <c r="D8" s="8" t="s">
        <v>215</v>
      </c>
      <c r="E8" s="21"/>
      <c r="F8" s="30">
        <v>24000</v>
      </c>
    </row>
    <row r="9" spans="1:6" x14ac:dyDescent="0.3">
      <c r="A9" s="23" t="s">
        <v>198</v>
      </c>
      <c r="B9" s="30"/>
      <c r="C9" s="21">
        <v>18000</v>
      </c>
      <c r="D9" s="8"/>
      <c r="E9" s="21"/>
      <c r="F9" s="30"/>
    </row>
    <row r="10" spans="1:6" x14ac:dyDescent="0.3">
      <c r="A10" s="23" t="s">
        <v>199</v>
      </c>
      <c r="B10" s="30"/>
      <c r="C10" s="21">
        <v>25000</v>
      </c>
      <c r="D10" s="8"/>
      <c r="E10" s="21"/>
      <c r="F10" s="30"/>
    </row>
    <row r="11" spans="1:6" x14ac:dyDescent="0.3">
      <c r="A11" s="23" t="s">
        <v>200</v>
      </c>
      <c r="B11" s="30"/>
      <c r="C11" s="21">
        <v>12500</v>
      </c>
      <c r="D11" s="8"/>
      <c r="E11" s="21"/>
      <c r="F11" s="30"/>
    </row>
    <row r="12" spans="1:6" x14ac:dyDescent="0.3">
      <c r="A12" s="23" t="s">
        <v>226</v>
      </c>
      <c r="B12" s="30"/>
      <c r="C12" s="21">
        <v>72000</v>
      </c>
      <c r="D12" s="8"/>
      <c r="E12" s="21"/>
      <c r="F12" s="30"/>
    </row>
    <row r="13" spans="1:6" x14ac:dyDescent="0.3">
      <c r="A13" s="23" t="s">
        <v>204</v>
      </c>
      <c r="B13" s="30"/>
      <c r="C13" s="35">
        <v>461000</v>
      </c>
      <c r="D13" s="8"/>
      <c r="E13" s="21"/>
      <c r="F13" s="30"/>
    </row>
    <row r="14" spans="1:6" x14ac:dyDescent="0.3">
      <c r="A14" s="23"/>
      <c r="B14" s="30"/>
      <c r="C14" s="21"/>
      <c r="D14" s="8"/>
      <c r="E14" s="21"/>
      <c r="F14" s="30"/>
    </row>
    <row r="15" spans="1:6" x14ac:dyDescent="0.3">
      <c r="A15" s="24"/>
      <c r="B15" s="31"/>
      <c r="C15" s="12">
        <f>SUM(C5:C14)</f>
        <v>635500</v>
      </c>
      <c r="D15" s="28"/>
      <c r="E15" s="19"/>
      <c r="F15" s="12">
        <f>SUM(F5:F14)</f>
        <v>635500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4C5A-1683-45BB-90A2-F69F9B357679}">
  <dimension ref="A1:J14"/>
  <sheetViews>
    <sheetView workbookViewId="0">
      <selection activeCell="K13" sqref="K13"/>
    </sheetView>
  </sheetViews>
  <sheetFormatPr defaultRowHeight="14.4" x14ac:dyDescent="0.3"/>
  <cols>
    <col min="1" max="1" width="19" customWidth="1"/>
    <col min="2" max="3" width="15.5546875" style="3" customWidth="1"/>
    <col min="4" max="4" width="19" customWidth="1"/>
    <col min="5" max="6" width="15.5546875" style="3" customWidth="1"/>
    <col min="10" max="10" width="9.77734375" bestFit="1" customWidth="1"/>
  </cols>
  <sheetData>
    <row r="1" spans="1:10" ht="48" customHeight="1" x14ac:dyDescent="0.3">
      <c r="A1" s="62" t="s">
        <v>205</v>
      </c>
      <c r="B1" s="62"/>
      <c r="C1" s="62"/>
      <c r="D1" s="62"/>
      <c r="E1" s="62"/>
      <c r="F1" s="62"/>
    </row>
    <row r="3" spans="1:10" ht="15.6" x14ac:dyDescent="0.3">
      <c r="A3" s="4" t="s">
        <v>206</v>
      </c>
      <c r="B3" s="11" t="s">
        <v>109</v>
      </c>
      <c r="C3" s="11" t="s">
        <v>109</v>
      </c>
      <c r="D3" s="4" t="s">
        <v>207</v>
      </c>
      <c r="E3" s="11" t="s">
        <v>109</v>
      </c>
      <c r="F3" s="11" t="s">
        <v>109</v>
      </c>
    </row>
    <row r="4" spans="1:10" x14ac:dyDescent="0.3">
      <c r="A4" s="8" t="s">
        <v>208</v>
      </c>
      <c r="B4" s="21">
        <v>1200000</v>
      </c>
      <c r="C4" s="29"/>
      <c r="D4" t="s">
        <v>217</v>
      </c>
      <c r="E4" s="29"/>
      <c r="F4" s="25">
        <v>559000</v>
      </c>
    </row>
    <row r="5" spans="1:10" x14ac:dyDescent="0.3">
      <c r="A5" s="8" t="s">
        <v>209</v>
      </c>
      <c r="B5" s="21">
        <v>461000</v>
      </c>
      <c r="C5" s="30"/>
      <c r="D5" t="s">
        <v>218</v>
      </c>
      <c r="E5" s="30"/>
      <c r="F5" s="25">
        <v>801000</v>
      </c>
    </row>
    <row r="6" spans="1:10" x14ac:dyDescent="0.3">
      <c r="A6" s="8"/>
      <c r="B6" s="21">
        <f>B4+B5</f>
        <v>1661000</v>
      </c>
      <c r="C6" s="30"/>
      <c r="D6" t="s">
        <v>219</v>
      </c>
      <c r="E6" s="30"/>
      <c r="F6" s="25"/>
    </row>
    <row r="7" spans="1:10" ht="15" thickBot="1" x14ac:dyDescent="0.35">
      <c r="A7" s="8" t="s">
        <v>210</v>
      </c>
      <c r="B7" s="20">
        <v>6000</v>
      </c>
      <c r="C7" s="30">
        <f>B6-B7</f>
        <v>1655000</v>
      </c>
      <c r="D7" t="s">
        <v>220</v>
      </c>
      <c r="E7" s="30"/>
      <c r="F7" s="25">
        <v>60000</v>
      </c>
    </row>
    <row r="8" spans="1:10" x14ac:dyDescent="0.3">
      <c r="A8" s="8" t="s">
        <v>211</v>
      </c>
      <c r="B8" s="21"/>
      <c r="C8" s="30"/>
      <c r="D8" t="s">
        <v>221</v>
      </c>
      <c r="E8" s="30"/>
      <c r="F8" s="25">
        <v>75000</v>
      </c>
    </row>
    <row r="9" spans="1:10" x14ac:dyDescent="0.3">
      <c r="A9" s="8" t="s">
        <v>212</v>
      </c>
      <c r="B9" s="21"/>
      <c r="C9" s="30"/>
      <c r="D9" t="s">
        <v>222</v>
      </c>
      <c r="E9" s="30"/>
      <c r="F9" s="25">
        <v>500000</v>
      </c>
    </row>
    <row r="10" spans="1:10" x14ac:dyDescent="0.3">
      <c r="A10" s="8" t="s">
        <v>213</v>
      </c>
      <c r="B10" s="21">
        <v>70000</v>
      </c>
      <c r="C10" s="30"/>
      <c r="D10" t="s">
        <v>223</v>
      </c>
      <c r="E10" s="30"/>
      <c r="F10" s="25">
        <v>70000</v>
      </c>
    </row>
    <row r="11" spans="1:10" ht="15" thickBot="1" x14ac:dyDescent="0.35">
      <c r="A11" s="8" t="s">
        <v>214</v>
      </c>
      <c r="B11" s="20">
        <v>70000</v>
      </c>
      <c r="C11" s="30">
        <v>140000</v>
      </c>
      <c r="D11" t="s">
        <v>224</v>
      </c>
      <c r="E11" s="30"/>
      <c r="F11" s="25"/>
    </row>
    <row r="12" spans="1:10" x14ac:dyDescent="0.3">
      <c r="A12" s="8" t="s">
        <v>216</v>
      </c>
      <c r="B12" s="21"/>
      <c r="C12" s="30">
        <v>550000</v>
      </c>
      <c r="D12" t="s">
        <v>225</v>
      </c>
      <c r="E12" s="30"/>
      <c r="F12" s="25">
        <v>70000</v>
      </c>
      <c r="J12" s="16"/>
    </row>
    <row r="13" spans="1:10" x14ac:dyDescent="0.3">
      <c r="A13" s="8"/>
      <c r="B13" s="21"/>
      <c r="C13" s="30"/>
      <c r="D13" t="s">
        <v>38</v>
      </c>
      <c r="E13" s="30"/>
      <c r="F13" s="25">
        <v>210000</v>
      </c>
      <c r="J13" s="16"/>
    </row>
    <row r="14" spans="1:10" x14ac:dyDescent="0.3">
      <c r="A14" s="28"/>
      <c r="B14" s="19"/>
      <c r="C14" s="12">
        <f>SUM(C7:C12)</f>
        <v>2345000</v>
      </c>
      <c r="D14" s="22"/>
      <c r="E14" s="31"/>
      <c r="F14" s="12">
        <f>SUM(F4:F13)</f>
        <v>2345000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E52D-79D3-41B3-A672-CBA57B9082EA}">
  <dimension ref="A1:C41"/>
  <sheetViews>
    <sheetView tabSelected="1" workbookViewId="0">
      <selection activeCell="C6" sqref="C6"/>
    </sheetView>
  </sheetViews>
  <sheetFormatPr defaultRowHeight="14.4" x14ac:dyDescent="0.3"/>
  <cols>
    <col min="1" max="1" width="36" customWidth="1"/>
    <col min="2" max="2" width="40.44140625" bestFit="1" customWidth="1"/>
    <col min="3" max="3" width="72.88671875" bestFit="1" customWidth="1"/>
  </cols>
  <sheetData>
    <row r="1" spans="1:3" ht="17.399999999999999" x14ac:dyDescent="0.3">
      <c r="A1" s="58" t="s">
        <v>227</v>
      </c>
      <c r="B1" s="58"/>
      <c r="C1" s="37" t="s">
        <v>228</v>
      </c>
    </row>
    <row r="2" spans="1:3" x14ac:dyDescent="0.3">
      <c r="A2" s="59" t="s">
        <v>229</v>
      </c>
      <c r="B2" s="60"/>
      <c r="C2" s="38"/>
    </row>
    <row r="3" spans="1:3" x14ac:dyDescent="0.3">
      <c r="A3" s="39" t="s">
        <v>230</v>
      </c>
      <c r="B3" s="40" t="s">
        <v>231</v>
      </c>
      <c r="C3" s="41"/>
    </row>
    <row r="4" spans="1:3" x14ac:dyDescent="0.3">
      <c r="A4" s="42" t="s">
        <v>232</v>
      </c>
      <c r="B4" s="43">
        <v>1640000</v>
      </c>
      <c r="C4" s="41" t="s">
        <v>233</v>
      </c>
    </row>
    <row r="5" spans="1:3" x14ac:dyDescent="0.3">
      <c r="A5" s="42" t="s">
        <v>234</v>
      </c>
      <c r="B5" s="43">
        <v>140000</v>
      </c>
      <c r="C5" s="41" t="s">
        <v>291</v>
      </c>
    </row>
    <row r="6" spans="1:3" ht="28.8" x14ac:dyDescent="0.3">
      <c r="A6" s="42" t="s">
        <v>235</v>
      </c>
      <c r="B6" s="44">
        <f>(B4/B5)</f>
        <v>11.714285714285714</v>
      </c>
      <c r="C6" s="45" t="s">
        <v>236</v>
      </c>
    </row>
    <row r="7" spans="1:3" x14ac:dyDescent="0.3">
      <c r="A7" s="46"/>
      <c r="B7" s="47"/>
      <c r="C7" s="46"/>
    </row>
    <row r="8" spans="1:3" ht="28.8" x14ac:dyDescent="0.3">
      <c r="A8" s="39" t="s">
        <v>237</v>
      </c>
      <c r="B8" s="48" t="s">
        <v>238</v>
      </c>
      <c r="C8" s="41"/>
    </row>
    <row r="9" spans="1:3" x14ac:dyDescent="0.3">
      <c r="A9" s="42" t="s">
        <v>239</v>
      </c>
      <c r="B9" s="43">
        <f>117000-24000</f>
        <v>93000</v>
      </c>
      <c r="C9" s="41" t="s">
        <v>240</v>
      </c>
    </row>
    <row r="10" spans="1:3" x14ac:dyDescent="0.3">
      <c r="A10" s="42" t="s">
        <v>234</v>
      </c>
      <c r="B10" s="43">
        <v>35500</v>
      </c>
      <c r="C10" s="41" t="s">
        <v>241</v>
      </c>
    </row>
    <row r="11" spans="1:3" ht="28.8" x14ac:dyDescent="0.3">
      <c r="A11" s="42" t="s">
        <v>242</v>
      </c>
      <c r="B11" s="44">
        <f>(B9/B10)</f>
        <v>2.619718309859155</v>
      </c>
      <c r="C11" s="45" t="s">
        <v>243</v>
      </c>
    </row>
    <row r="12" spans="1:3" x14ac:dyDescent="0.3">
      <c r="A12" s="46"/>
      <c r="B12" s="49"/>
      <c r="C12" s="46"/>
    </row>
    <row r="13" spans="1:3" x14ac:dyDescent="0.3">
      <c r="A13" s="39" t="s">
        <v>244</v>
      </c>
      <c r="B13" s="50" t="s">
        <v>245</v>
      </c>
      <c r="C13" s="41"/>
    </row>
    <row r="14" spans="1:3" x14ac:dyDescent="0.3">
      <c r="A14" s="42" t="s">
        <v>246</v>
      </c>
      <c r="B14" s="43">
        <v>52900</v>
      </c>
      <c r="C14" s="41" t="s">
        <v>247</v>
      </c>
    </row>
    <row r="15" spans="1:3" x14ac:dyDescent="0.3">
      <c r="A15" s="42" t="s">
        <v>234</v>
      </c>
      <c r="B15" s="43">
        <v>35500</v>
      </c>
      <c r="C15" s="41" t="s">
        <v>248</v>
      </c>
    </row>
    <row r="16" spans="1:3" x14ac:dyDescent="0.3">
      <c r="A16" s="42" t="s">
        <v>249</v>
      </c>
      <c r="B16" s="44">
        <f>(B14/B15)</f>
        <v>1.4901408450704225</v>
      </c>
      <c r="C16" s="41" t="s">
        <v>250</v>
      </c>
    </row>
    <row r="17" spans="1:3" x14ac:dyDescent="0.3">
      <c r="A17" s="51"/>
      <c r="B17" s="49"/>
      <c r="C17" s="46"/>
    </row>
    <row r="18" spans="1:3" x14ac:dyDescent="0.3">
      <c r="A18" s="52" t="s">
        <v>251</v>
      </c>
      <c r="B18" s="50" t="s">
        <v>252</v>
      </c>
      <c r="C18" s="41"/>
    </row>
    <row r="19" spans="1:3" x14ac:dyDescent="0.3">
      <c r="A19" s="42" t="s">
        <v>253</v>
      </c>
      <c r="B19" s="43">
        <v>36000</v>
      </c>
      <c r="C19" s="41" t="s">
        <v>254</v>
      </c>
    </row>
    <row r="20" spans="1:3" x14ac:dyDescent="0.3">
      <c r="A20" s="42" t="s">
        <v>255</v>
      </c>
      <c r="B20" s="43">
        <v>117500</v>
      </c>
      <c r="C20" s="41" t="s">
        <v>256</v>
      </c>
    </row>
    <row r="21" spans="1:3" x14ac:dyDescent="0.3">
      <c r="A21" s="42" t="s">
        <v>257</v>
      </c>
      <c r="B21" s="53">
        <f>(B19/B20)</f>
        <v>0.30638297872340425</v>
      </c>
      <c r="C21" s="41" t="s">
        <v>258</v>
      </c>
    </row>
    <row r="22" spans="1:3" x14ac:dyDescent="0.3">
      <c r="A22" s="46"/>
      <c r="B22" s="47"/>
      <c r="C22" s="46"/>
    </row>
    <row r="23" spans="1:3" x14ac:dyDescent="0.3">
      <c r="A23" s="39" t="s">
        <v>259</v>
      </c>
      <c r="B23" s="50" t="s">
        <v>260</v>
      </c>
      <c r="C23" s="41" t="s">
        <v>261</v>
      </c>
    </row>
    <row r="24" spans="1:3" x14ac:dyDescent="0.3">
      <c r="A24" s="42" t="s">
        <v>253</v>
      </c>
      <c r="B24" s="43">
        <v>36000</v>
      </c>
      <c r="C24" s="41" t="s">
        <v>262</v>
      </c>
    </row>
    <row r="25" spans="1:3" x14ac:dyDescent="0.3">
      <c r="A25" s="42" t="s">
        <v>263</v>
      </c>
      <c r="B25" s="43">
        <v>153000</v>
      </c>
      <c r="C25" s="41" t="s">
        <v>264</v>
      </c>
    </row>
    <row r="26" spans="1:3" x14ac:dyDescent="0.3">
      <c r="A26" s="42" t="s">
        <v>265</v>
      </c>
      <c r="B26" s="53">
        <f>(B24/B25)</f>
        <v>0.23529411764705882</v>
      </c>
      <c r="C26" s="41" t="s">
        <v>266</v>
      </c>
    </row>
    <row r="27" spans="1:3" x14ac:dyDescent="0.3">
      <c r="A27" s="46"/>
      <c r="B27" s="47"/>
      <c r="C27" s="46"/>
    </row>
    <row r="28" spans="1:3" x14ac:dyDescent="0.3">
      <c r="A28" s="39" t="s">
        <v>267</v>
      </c>
      <c r="B28" s="50" t="s">
        <v>268</v>
      </c>
      <c r="C28" s="41" t="s">
        <v>269</v>
      </c>
    </row>
    <row r="29" spans="1:3" x14ac:dyDescent="0.3">
      <c r="A29" s="42" t="s">
        <v>270</v>
      </c>
      <c r="B29" s="43">
        <v>69500</v>
      </c>
      <c r="C29" s="41" t="s">
        <v>271</v>
      </c>
    </row>
    <row r="30" spans="1:3" x14ac:dyDescent="0.3">
      <c r="A30" s="42" t="s">
        <v>263</v>
      </c>
      <c r="B30" s="43">
        <v>153000</v>
      </c>
      <c r="C30" s="41" t="s">
        <v>272</v>
      </c>
    </row>
    <row r="31" spans="1:3" x14ac:dyDescent="0.3">
      <c r="A31" s="42" t="s">
        <v>273</v>
      </c>
      <c r="B31" s="54">
        <f>B29/B30</f>
        <v>0.45424836601307189</v>
      </c>
      <c r="C31" s="41" t="s">
        <v>274</v>
      </c>
    </row>
    <row r="32" spans="1:3" x14ac:dyDescent="0.3">
      <c r="A32" s="46"/>
      <c r="B32" s="47"/>
      <c r="C32" s="46"/>
    </row>
    <row r="33" spans="1:3" x14ac:dyDescent="0.3">
      <c r="A33" s="39" t="s">
        <v>275</v>
      </c>
      <c r="B33" s="50" t="s">
        <v>276</v>
      </c>
      <c r="C33" s="41"/>
    </row>
    <row r="34" spans="1:3" x14ac:dyDescent="0.3">
      <c r="A34" s="42" t="s">
        <v>277</v>
      </c>
      <c r="B34" s="43">
        <v>47500</v>
      </c>
      <c r="C34" s="41" t="s">
        <v>278</v>
      </c>
    </row>
    <row r="35" spans="1:3" x14ac:dyDescent="0.3">
      <c r="A35" s="42" t="s">
        <v>279</v>
      </c>
      <c r="B35" s="43">
        <v>12000</v>
      </c>
      <c r="C35" s="41" t="s">
        <v>280</v>
      </c>
    </row>
    <row r="36" spans="1:3" ht="28.8" x14ac:dyDescent="0.3">
      <c r="A36" s="42" t="s">
        <v>281</v>
      </c>
      <c r="B36" s="44">
        <f>B34/B35</f>
        <v>3.9583333333333335</v>
      </c>
      <c r="C36" s="45" t="s">
        <v>282</v>
      </c>
    </row>
    <row r="37" spans="1:3" x14ac:dyDescent="0.3">
      <c r="A37" s="46"/>
      <c r="B37" s="47"/>
      <c r="C37" s="46"/>
    </row>
    <row r="38" spans="1:3" x14ac:dyDescent="0.3">
      <c r="A38" s="39" t="s">
        <v>283</v>
      </c>
      <c r="B38" s="50" t="s">
        <v>284</v>
      </c>
      <c r="C38" s="41"/>
    </row>
    <row r="39" spans="1:3" x14ac:dyDescent="0.3">
      <c r="A39" s="42" t="s">
        <v>285</v>
      </c>
      <c r="B39" s="43">
        <v>69500</v>
      </c>
      <c r="C39" s="41" t="s">
        <v>286</v>
      </c>
    </row>
    <row r="40" spans="1:3" x14ac:dyDescent="0.3">
      <c r="A40" s="42" t="s">
        <v>287</v>
      </c>
      <c r="B40" s="43">
        <f>(B4-B5)</f>
        <v>1500000</v>
      </c>
      <c r="C40" s="41" t="s">
        <v>288</v>
      </c>
    </row>
    <row r="41" spans="1:3" x14ac:dyDescent="0.3">
      <c r="A41" s="55" t="s">
        <v>289</v>
      </c>
      <c r="B41" s="56">
        <f>B39/B40</f>
        <v>4.6333333333333331E-2</v>
      </c>
      <c r="C41" s="57" t="s">
        <v>290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Problems.</vt:lpstr>
      <vt:lpstr>Journal entries.</vt:lpstr>
      <vt:lpstr>Ledger.</vt:lpstr>
      <vt:lpstr>Trial balance.</vt:lpstr>
      <vt:lpstr>Trading account.</vt:lpstr>
      <vt:lpstr>P&amp;L.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Maha Raja</cp:lastModifiedBy>
  <dcterms:created xsi:type="dcterms:W3CDTF">2026-07-20T03:18:48Z</dcterms:created>
  <dcterms:modified xsi:type="dcterms:W3CDTF">2026-07-22T15:30:32Z</dcterms:modified>
</cp:coreProperties>
</file>